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80610A8E-5010-04F8-B4C4-4C4527662162}"/>
  <workbookPr codeName="Ten_skoroszyt" defaultThemeVersion="166925"/>
  <mc:AlternateContent xmlns:mc="http://schemas.openxmlformats.org/markup-compatibility/2006">
    <mc:Choice Requires="x15">
      <x15ac:absPath xmlns:x15ac="http://schemas.microsoft.com/office/spreadsheetml/2010/11/ac" url="C:\Users\linda\Desktop\"/>
    </mc:Choice>
  </mc:AlternateContent>
  <xr:revisionPtr revIDLastSave="0" documentId="8_{D8A17E3A-2691-4B30-BDB8-730BF8ED9926}" xr6:coauthVersionLast="47" xr6:coauthVersionMax="47" xr10:uidLastSave="{00000000-0000-0000-0000-000000000000}"/>
  <bookViews>
    <workbookView xWindow="-108" yWindow="-108" windowWidth="23256" windowHeight="12456" activeTab="1" xr2:uid="{C51A14FE-1149-4E6D-B9E0-A6F69A8AA489}"/>
  </bookViews>
  <sheets>
    <sheet name="Dane_2023_2024" sheetId="29" r:id="rId1"/>
    <sheet name="STEROWANIE" sheetId="6" r:id="rId2"/>
    <sheet name="Bilans" sheetId="21" r:id="rId3"/>
    <sheet name="RZiS" sheetId="22" r:id="rId4"/>
    <sheet name="Przepływy pieniężne" sheetId="24" r:id="rId5"/>
    <sheet name="Wskaźniki" sheetId="28" r:id="rId6"/>
    <sheet name="Porównanie " sheetId="30" r:id="rId7"/>
  </sheets>
  <definedNames>
    <definedName name="_xleta.ABS" hidden="1" xlm="1">#NAME?</definedName>
    <definedName name="_xleta.ADDRESS" hidden="1" xlm="1">#NAME?</definedName>
    <definedName name="_xleta.INDIRECT" hidden="1" xlm="1">#NAME?</definedName>
    <definedName name="_xleta.ISNUMBER" hidden="1" xlm="1">#NAME?</definedName>
    <definedName name="_xleta.SUM" hidden="1" xlm="1">#NAME?</definedName>
    <definedName name="_xlpm.k" hidden="1" xlm="1">#NAME?</definedName>
    <definedName name="_xlpm.ko" hidden="1" xlm="1">#NAME?</definedName>
    <definedName name="_xlpm.kol" hidden="1" xlm="1">#NAME?</definedName>
    <definedName name="_xlpm.kolu" hidden="1" xlm="1">#NAME?</definedName>
    <definedName name="_xlpm.kolum" hidden="1" xlm="1">#NAME?</definedName>
    <definedName name="_xlpm.kolumn" hidden="1" xlm="1">#NAME?</definedName>
    <definedName name="_xlpm.kolumny" hidden="1" xlm="1">#NAME?</definedName>
    <definedName name="_xlpm.suma" hidden="1" xlm="1">#NAME?</definedName>
    <definedName name="_xlpm.w" hidden="1" xlm="1">#NAME?</definedName>
    <definedName name="_xlpm.wi" hidden="1" xlm="1">#NAME?</definedName>
    <definedName name="_xlpm.wie" hidden="1" xlm="1">#NAME?</definedName>
    <definedName name="_xlpm.wier" hidden="1" xlm="1">#NAME?</definedName>
    <definedName name="_xlpm.wiers" hidden="1" xlm="1">#NAME?</definedName>
    <definedName name="_xlpm.wiersz" hidden="1" xlm="1">#NAME?</definedName>
    <definedName name="_xlpm.wiersze" hidden="1" xlm="1">#NAME?</definedName>
    <definedName name="ExternalData_1" localSheetId="2" hidden="1">Bilans!$A$1:$C$51</definedName>
    <definedName name="ExternalData_1" localSheetId="4" hidden="1">'Przepływy pieniężne'!$A$1:$C$30</definedName>
    <definedName name="ExternalData_1" localSheetId="3" hidden="1">RZiS!$A$1:$C$33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7" i="30" l="1"/>
  <c r="K57" i="30" s="1"/>
  <c r="J59" i="30"/>
  <c r="K59" i="30" s="1"/>
  <c r="E59" i="30"/>
  <c r="E57" i="30"/>
  <c r="J52" i="30"/>
  <c r="K52" i="30" s="1"/>
  <c r="J50" i="30"/>
  <c r="K50" i="30" s="1"/>
  <c r="E52" i="30"/>
  <c r="E50" i="30"/>
  <c r="J45" i="30"/>
  <c r="J43" i="30"/>
  <c r="E45" i="30"/>
  <c r="E43" i="30"/>
  <c r="J38" i="30"/>
  <c r="J36" i="30"/>
  <c r="E38" i="30"/>
  <c r="E36" i="30"/>
  <c r="J31" i="30"/>
  <c r="J29" i="30"/>
  <c r="E31" i="30"/>
  <c r="E29" i="30"/>
  <c r="F10" i="30"/>
  <c r="G10" i="30" s="1"/>
  <c r="F11" i="30"/>
  <c r="G11" i="30" s="1"/>
  <c r="J32" i="30" s="1"/>
  <c r="K32" i="30" s="1"/>
  <c r="F13" i="30"/>
  <c r="F14" i="30"/>
  <c r="G14" i="30" s="1"/>
  <c r="F16" i="30"/>
  <c r="G16" i="30" s="1"/>
  <c r="F17" i="30"/>
  <c r="G17" i="30" s="1"/>
  <c r="F19" i="30"/>
  <c r="G19" i="30" s="1"/>
  <c r="F20" i="30"/>
  <c r="G20" i="30" s="1"/>
  <c r="J53" i="30" s="1"/>
  <c r="K53" i="30" s="1"/>
  <c r="F22" i="30"/>
  <c r="G22" i="30" s="1"/>
  <c r="F23" i="30"/>
  <c r="G23" i="30" s="1"/>
  <c r="J60" i="30" s="1"/>
  <c r="K60" i="30" s="1"/>
  <c r="G13" i="30"/>
  <c r="J58" i="30"/>
  <c r="K58" i="30" s="1"/>
  <c r="J56" i="30"/>
  <c r="K56" i="30" s="1"/>
  <c r="J51" i="30"/>
  <c r="K51" i="30" s="1"/>
  <c r="J49" i="30"/>
  <c r="K49" i="30" s="1"/>
  <c r="J44" i="30"/>
  <c r="K44" i="30" s="1"/>
  <c r="J42" i="30"/>
  <c r="K42" i="30" s="1"/>
  <c r="J37" i="30"/>
  <c r="K37" i="30" s="1"/>
  <c r="J35" i="30"/>
  <c r="K35" i="30" s="1"/>
  <c r="J30" i="30"/>
  <c r="K30" i="30" s="1"/>
  <c r="J28" i="30"/>
  <c r="K28" i="30" s="1"/>
  <c r="J46" i="30" l="1"/>
  <c r="K46" i="30" s="1"/>
  <c r="J39" i="30"/>
  <c r="K39" i="30" s="1"/>
  <c r="I18" i="28" l="1"/>
  <c r="H18" i="28"/>
  <c r="B21" i="28"/>
  <c r="E14" i="28" a="1"/>
  <c r="F14" i="28" a="1"/>
  <c r="G11" i="28" a="1"/>
  <c r="F15" i="28" a="1"/>
  <c r="F12" i="28" a="1"/>
  <c r="E17" i="28" a="1"/>
  <c r="G17" i="28" a="1"/>
  <c r="F13" i="28" a="1"/>
  <c r="G15" i="28" a="1"/>
  <c r="G10" i="28" a="1"/>
  <c r="E15" i="28" a="1"/>
  <c r="F10" i="28" a="1"/>
  <c r="E12" i="28" a="1"/>
  <c r="E11" i="28" a="1"/>
  <c r="G12" i="28" a="1"/>
  <c r="F17" i="28" a="1"/>
  <c r="F11" i="28" a="1"/>
  <c r="E13" i="28" a="1"/>
  <c r="G14" i="28" a="1"/>
  <c r="G13" i="28" a="1"/>
  <c r="E10" i="28" a="1"/>
  <c r="J18" i="28" l="1"/>
  <c r="E10" i="28"/>
  <c r="G13" i="28"/>
  <c r="I13" i="28" s="1"/>
  <c r="F15" i="28"/>
  <c r="H15" i="28" s="1"/>
  <c r="G17" i="28"/>
  <c r="I17" i="28" s="1"/>
  <c r="G14" i="28"/>
  <c r="I14" i="28" s="1"/>
  <c r="E11" i="28"/>
  <c r="G15" i="28"/>
  <c r="I15" i="28" s="1"/>
  <c r="F10" i="28"/>
  <c r="E12" i="28"/>
  <c r="F11" i="28"/>
  <c r="H11" i="28" s="1"/>
  <c r="E13" i="28"/>
  <c r="E17" i="28"/>
  <c r="G10" i="28"/>
  <c r="I10" i="28" s="1"/>
  <c r="F12" i="28"/>
  <c r="E14" i="28"/>
  <c r="G11" i="28"/>
  <c r="I11" i="28" s="1"/>
  <c r="F13" i="28"/>
  <c r="H13" i="28" s="1"/>
  <c r="E15" i="28"/>
  <c r="F17" i="28"/>
  <c r="H17" i="28" s="1"/>
  <c r="G12" i="28"/>
  <c r="F14" i="28"/>
  <c r="H14" i="28" s="1"/>
  <c r="B22" i="28"/>
  <c r="B23" i="28"/>
  <c r="B24" i="28"/>
  <c r="B25" i="28"/>
  <c r="J20" i="6"/>
  <c r="J21" i="6"/>
  <c r="J19" i="6"/>
  <c r="C51" i="28" l="1"/>
  <c r="C60" i="28"/>
  <c r="C57" i="28"/>
  <c r="C48" i="28"/>
  <c r="C33" i="28"/>
  <c r="D24" i="28"/>
  <c r="D23" i="28"/>
  <c r="E15" i="30" s="1"/>
  <c r="C23" i="28"/>
  <c r="D15" i="30" s="1"/>
  <c r="C24" i="28"/>
  <c r="H10" i="28"/>
  <c r="D21" i="28"/>
  <c r="E9" i="30" s="1"/>
  <c r="J14" i="28"/>
  <c r="J17" i="28"/>
  <c r="J13" i="28"/>
  <c r="F16" i="28"/>
  <c r="H16" i="28" s="1"/>
  <c r="H12" i="28"/>
  <c r="I12" i="28"/>
  <c r="D22" i="28" s="1"/>
  <c r="E12" i="30" s="1"/>
  <c r="G16" i="28"/>
  <c r="I16" i="28" s="1"/>
  <c r="J15" i="28"/>
  <c r="J11" i="28"/>
  <c r="K43" i="30" l="1"/>
  <c r="K45" i="30"/>
  <c r="F43" i="30"/>
  <c r="F45" i="30"/>
  <c r="F15" i="30"/>
  <c r="C59" i="28"/>
  <c r="E18" i="30"/>
  <c r="C56" i="28"/>
  <c r="D18" i="30"/>
  <c r="E44" i="30"/>
  <c r="F44" i="30" s="1"/>
  <c r="E42" i="30"/>
  <c r="F42" i="30" s="1"/>
  <c r="E37" i="30"/>
  <c r="F37" i="30" s="1"/>
  <c r="E30" i="30"/>
  <c r="F30" i="30" s="1"/>
  <c r="D25" i="28"/>
  <c r="C69" i="28"/>
  <c r="C25" i="28"/>
  <c r="D21" i="30" s="1"/>
  <c r="C66" i="28"/>
  <c r="C42" i="28"/>
  <c r="C39" i="28"/>
  <c r="J10" i="28"/>
  <c r="C30" i="28"/>
  <c r="C21" i="28"/>
  <c r="C22" i="28"/>
  <c r="J12" i="28"/>
  <c r="J16" i="28"/>
  <c r="C40" i="28"/>
  <c r="C41" i="28"/>
  <c r="C55" i="28"/>
  <c r="E23" i="28"/>
  <c r="C52" i="28" s="1"/>
  <c r="C49" i="28"/>
  <c r="C50" i="28"/>
  <c r="E24" i="28"/>
  <c r="C61" i="28" s="1"/>
  <c r="C58" i="28"/>
  <c r="C31" i="28"/>
  <c r="C32" i="28"/>
  <c r="F18" i="30" l="1"/>
  <c r="G15" i="30"/>
  <c r="E46" i="30" s="1"/>
  <c r="F46" i="30" s="1"/>
  <c r="C67" i="28"/>
  <c r="E21" i="30"/>
  <c r="F21" i="30" s="1"/>
  <c r="E56" i="30"/>
  <c r="F56" i="30" s="1"/>
  <c r="F57" i="30"/>
  <c r="F52" i="30"/>
  <c r="E51" i="30"/>
  <c r="F51" i="30" s="1"/>
  <c r="F50" i="30"/>
  <c r="E49" i="30"/>
  <c r="F49" i="30" s="1"/>
  <c r="E22" i="28"/>
  <c r="C43" i="28" s="1"/>
  <c r="D12" i="30"/>
  <c r="C28" i="28"/>
  <c r="D9" i="30"/>
  <c r="C64" i="28"/>
  <c r="C65" i="28"/>
  <c r="E25" i="28"/>
  <c r="C70" i="28" s="1"/>
  <c r="C68" i="28"/>
  <c r="C37" i="28"/>
  <c r="E21" i="28"/>
  <c r="C34" i="28" s="1"/>
  <c r="C38" i="28"/>
  <c r="C29" i="28"/>
  <c r="C46" i="28"/>
  <c r="C47" i="28"/>
  <c r="K38" i="30" l="1"/>
  <c r="K36" i="30"/>
  <c r="F38" i="30"/>
  <c r="F12" i="30"/>
  <c r="F36" i="30"/>
  <c r="K29" i="30"/>
  <c r="K31" i="30"/>
  <c r="F29" i="30"/>
  <c r="F31" i="30"/>
  <c r="F9" i="30"/>
  <c r="G9" i="30" s="1"/>
  <c r="E32" i="30" s="1"/>
  <c r="F32" i="30" s="1"/>
  <c r="G18" i="30"/>
  <c r="E53" i="30" s="1"/>
  <c r="F53" i="30" s="1"/>
  <c r="G21" i="30"/>
  <c r="E60" i="30" s="1"/>
  <c r="F60" i="30" s="1"/>
  <c r="F59" i="30"/>
  <c r="E58" i="30"/>
  <c r="F58" i="30" s="1"/>
  <c r="E35" i="30"/>
  <c r="F35" i="30" s="1"/>
  <c r="E28" i="30"/>
  <c r="F28" i="30" s="1"/>
  <c r="G12" i="30" l="1"/>
  <c r="E39" i="30" s="1"/>
  <c r="F39" i="3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BBA606-5F09-4597-8259-5A55F732AC94}" keepAlive="1" name="Połączenie" type="5" refreshedVersion="0" background="1">
    <dbPr connection="Provider=Microsoft.Mashup.OleDb.1;Data Source=$Workbook$;Location=&quot;RZiS_Tabela&quot;;Extended Properties=&quot;&quot;" commandType="0"/>
  </connection>
  <connection id="2" xr16:uid="{8D9A3CC6-FC67-4345-B6F2-DFF81AD8306E}" keepAlive="1" name="Połączenie1" type="5" refreshedVersion="0" background="1">
    <dbPr connection="Provider=Microsoft.Mashup.OleDb.1;Data Source=$Workbook$;Location=&quot;Bilans_3_Tabele&quot;;Extended Properties=&quot;&quot;" commandType="0"/>
  </connection>
  <connection id="3" xr16:uid="{024B7E36-D099-4B1F-898A-4B5B7F67B259}" keepAlive="1" name="Połączenie10" type="5" refreshedVersion="0" background="1">
    <dbPr connection="Provider=Microsoft.Mashup.OleDb.1;Data Source=$Workbook$;Location=&quot;PRZEPLYWY_Tabela&quot;;Extended Properties=&quot;&quot;" commandType="0"/>
  </connection>
  <connection id="4" xr16:uid="{462ACC65-ED50-45C6-A7C9-D0F53C51A3EF}" keepAlive="1" name="Połączenie11" type="5" refreshedVersion="8" saveData="1">
    <dbPr connection="Provider=Microsoft.Mashup.OleDb.1;Data Source=$Workbook$;Location=PRZEPLYWY_Tabela;Extended Properties=&quot;&quot;" command="SELECT * FROM [PRZEPLYWY_Tabela]"/>
  </connection>
  <connection id="5" xr16:uid="{32A0DEAB-0BC4-4A57-BCA6-6093865F51D5}" keepAlive="1" name="Połączenie12" type="5" refreshedVersion="8" saveData="1">
    <dbPr connection="Provider=Microsoft.Mashup.OleDb.1;Data Source=$Workbook$;Location=RZiS_Tabela;Extended Properties=&quot;&quot;" command="SELECT * FROM [RZiS_Tabela]"/>
  </connection>
  <connection id="6" xr16:uid="{808E4A19-7666-4D0A-809B-D777C2627B6A}" keepAlive="1" name="Połączenie13" type="5" refreshedVersion="8" saveData="1">
    <dbPr connection="Provider=Microsoft.Mashup.OleDb.1;Data Source=$Workbook$;Location=Bilans_2_Tabele;Extended Properties=&quot;&quot;" command="SELECT * FROM [Bilans_2_Tabele]"/>
  </connection>
  <connection id="7" xr16:uid="{05CE4871-778D-48E5-B76B-49554644D4DB}" keepAlive="1" name="Połączenie14" type="5" refreshedVersion="0" background="1">
    <dbPr connection="Provider=Microsoft.Mashup.OleDb.1;Data Source=$Workbook$;Location=&quot;PRZEPLYWY_Tabela&quot;;Extended Properties=&quot;&quot;" commandType="0"/>
  </connection>
  <connection id="8" xr16:uid="{5F9E03D8-0C0F-48AA-8369-864F8E94BFE0}" keepAlive="1" name="Połączenie15" type="5" refreshedVersion="0" background="1">
    <dbPr connection="Provider=Microsoft.Mashup.OleDb.1;Data Source=$Workbook$;Location=&quot;PRZEPLYWY_Tabela&quot;;Extended Properties=&quot;&quot;" commandType="0"/>
  </connection>
  <connection id="9" xr16:uid="{F897BC53-89CA-4579-B25B-4F54DB587BFC}" keepAlive="1" name="Połączenie16" type="5" refreshedVersion="0" background="1">
    <dbPr connection="Provider=Microsoft.Mashup.OleDb.1;Data Source=$Workbook$;Location=&quot;PRZEPLYWY_Tabela&quot;;Extended Properties=&quot;&quot;" commandType="0"/>
  </connection>
  <connection id="10" xr16:uid="{BE6EAE74-A68B-4CBF-A268-89021584F42D}" keepAlive="1" name="Połączenie17" type="5" refreshedVersion="0" background="1">
    <dbPr connection="Provider=Microsoft.Mashup.OleDb.1;Data Source=$Workbook$;Location=&quot;PRZEPLYWY_Tabela&quot;;Extended Properties=&quot;&quot;" commandType="0"/>
  </connection>
  <connection id="11" xr16:uid="{8ACE27A7-4D9E-4080-863F-EA7A7879FCC2}" keepAlive="1" name="Połączenie18" type="5" refreshedVersion="0" background="1">
    <dbPr connection="Provider=Microsoft.Mashup.OleDb.1;Data Source=$Workbook$;Location=&quot;Przeplywy_tabela&quot;;Extended Properties=&quot;&quot;" commandType="0"/>
  </connection>
  <connection id="12" xr16:uid="{1A89E833-6EB9-4C0A-A6B7-7F4D432A6BD3}" keepAlive="1" name="Połączenie19" type="5" refreshedVersion="0" background="1">
    <dbPr connection="Provider=Microsoft.Mashup.OleDb.1;Data Source=$Workbook$;Location=&quot;Przeplywy_tabela&quot;;Extended Properties=&quot;&quot;" commandType="0"/>
  </connection>
  <connection id="13" xr16:uid="{A5877AE2-320F-45B5-8715-D3C892CE0186}" keepAlive="1" name="Połączenie2" type="5" refreshedVersion="0" background="1">
    <dbPr connection="Provider=Microsoft.Mashup.OleDb.1;Data Source=$Workbook$;Location=&quot;Bilans_3_Tabele&quot;;Extended Properties=&quot;&quot;" commandType="0"/>
  </connection>
  <connection id="14" xr16:uid="{DDD38BD4-C606-4019-AD04-5216FE7C5CFF}" keepAlive="1" name="Połączenie20" type="5" refreshedVersion="0" background="1">
    <dbPr connection="Provider=Microsoft.Mashup.OleDb.1;Data Source=$Workbook$;Location=&quot;Przeplywy_tabela&quot;;Extended Properties=&quot;&quot;" commandType="0"/>
  </connection>
  <connection id="15" xr16:uid="{C6F3B857-AF5F-4025-A42C-1CA1E7BA5C83}" keepAlive="1" name="Połączenie21" type="5" refreshedVersion="0" background="1">
    <dbPr connection="Provider=Microsoft.Mashup.OleDb.1;Data Source=$Workbook$;Location=&quot;Przeplywy_tabela&quot;;Extended Properties=&quot;&quot;" commandType="0"/>
  </connection>
  <connection id="16" xr16:uid="{B62408F9-630D-4A5C-927F-BC54129717AA}" keepAlive="1" name="Połączenie22" type="5" refreshedVersion="0" background="1">
    <dbPr connection="Provider=Microsoft.Mashup.OleDb.1;Data Source=$Workbook$;Location=&quot;Przeplywy_tabela&quot;;Extended Properties=&quot;&quot;" commandType="0"/>
  </connection>
  <connection id="17" xr16:uid="{4605E0EC-161C-4F12-A161-B292855C272A}" keepAlive="1" name="Połączenie23" type="5" refreshedVersion="0" background="1">
    <dbPr connection="Provider=Microsoft.Mashup.OleDb.1;Data Source=$Workbook$;Location=&quot;RZiS_Tabela&quot;;Extended Properties=&quot;&quot;" commandType="0"/>
  </connection>
  <connection id="18" xr16:uid="{B8CE6DB6-BCF3-4D6D-915F-F7510FD3C4D4}" keepAlive="1" name="Połączenie24" type="5" refreshedVersion="8" saveData="1">
    <dbPr connection="Provider=Microsoft.Mashup.OleDb.1;Data Source=$Workbook$;Location=&quot;Bilans_2_Tabele&quot;;Extended Properties=&quot;&quot;" command="SELECT * FROM [Bilans_2_Tabele]"/>
  </connection>
  <connection id="19" xr16:uid="{F7A2D0C7-8EE3-4EAD-AE21-E2421B9E4053}" keepAlive="1" name="Połączenie25" type="5" refreshedVersion="0" background="1">
    <dbPr connection="Provider=Microsoft.Mashup.OleDb.1;Data Source=$Workbook$;Location=&quot;Przeplywy_tabela&quot;;Extended Properties=&quot;&quot;" commandType="0"/>
  </connection>
  <connection id="20" xr16:uid="{6837727B-52DC-4322-B442-776763E6A4DF}" keepAlive="1" name="Połączenie26" type="5" refreshedVersion="0" background="1">
    <dbPr connection="Provider=Microsoft.Mashup.OleDb.1;Data Source=$Workbook$;Location=&quot;RZiS_Tabela&quot;;Extended Properties=&quot;&quot;" commandType="0"/>
  </connection>
  <connection id="21" xr16:uid="{EBE58119-B465-496B-BB71-03828B87A63A}" keepAlive="1" name="Połączenie27" type="5" refreshedVersion="0" background="1">
    <dbPr connection="Provider=Microsoft.Mashup.OleDb.1;Data Source=$Workbook$;Location=&quot;RZiS_Tabela&quot;;Extended Properties=&quot;&quot;" commandType="0"/>
  </connection>
  <connection id="22" xr16:uid="{63034C3F-6EA7-4882-8F78-688D7296CD12}" keepAlive="1" name="Połączenie28" type="5" refreshedVersion="0" background="1">
    <dbPr connection="Provider=Microsoft.Mashup.OleDb.1;Data Source=$Workbook$;Location=&quot;RZiS_Tabela&quot;;Extended Properties=&quot;&quot;" commandType="0"/>
  </connection>
  <connection id="23" xr16:uid="{1209116E-D1FC-4905-BFC3-6EF178E68C59}" keepAlive="1" name="Połączenie29" type="5" refreshedVersion="8" saveData="1">
    <dbPr connection="Provider=Microsoft.Mashup.OleDb.1;Data Source=$Workbook$;Location=&quot;Przeplywy_tabela&quot;;Extended Properties=&quot;&quot;" command="SELECT * FROM [Przeplywy_tabela]"/>
  </connection>
  <connection id="24" xr16:uid="{3E8ADAE2-DC7D-43C4-B025-DDC01CA2666A}" keepAlive="1" name="Połączenie3" type="5" refreshedVersion="0" background="1">
    <dbPr connection="Provider=Microsoft.Mashup.OleDb.1;Data Source=$Workbook$;Location=&quot;Bilans_3_Tabele&quot;;Extended Properties=&quot;&quot;" commandType="0"/>
  </connection>
  <connection id="25" xr16:uid="{B5E83FF2-52B3-4129-A98D-E2BAC4A87498}" keepAlive="1" name="Połączenie30" type="5" refreshedVersion="0" background="1">
    <dbPr connection="Provider=Microsoft.Mashup.OleDb.1;Data Source=$Workbook$;Location=&quot;RZiS_Tabela&quot;;Extended Properties=&quot;&quot;" commandType="0"/>
  </connection>
  <connection id="26" xr16:uid="{82A29C1B-85B2-4837-8C70-2AE06EC1EE08}" keepAlive="1" name="Połączenie31" type="5" refreshedVersion="8" saveData="1">
    <dbPr connection="Provider=Microsoft.Mashup.OleDb.1;Data Source=$Workbook$;Location=&quot;RZiS_Tabela&quot;;Extended Properties=&quot;&quot;" command="SELECT * FROM [RZiS_Tabela]"/>
  </connection>
  <connection id="27" xr16:uid="{FC8EDDDD-180D-472A-A455-7CE93DDA5533}" keepAlive="1" name="Połączenie32" type="5" refreshedVersion="8" saveData="1">
    <dbPr connection="Provider=Microsoft.Mashup.OleDb.1;Data Source=$Workbook$;Location=&quot;Bilans_2_Tabele&quot;;Extended Properties=&quot;&quot;" command="SELECT * FROM [Bilans_2_Tabele]"/>
  </connection>
  <connection id="28" xr16:uid="{FDD8606B-2260-4B17-8D9C-15F3D6B5F437}" keepAlive="1" name="Połączenie33" type="5" refreshedVersion="8" saveData="1">
    <dbPr connection="Provider=Microsoft.Mashup.OleDb.1;Data Source=$Workbook$;Location=&quot;RZiS_Tabela&quot;;Extended Properties=&quot;&quot;" command="SELECT * FROM [RZiS_Tabela]"/>
  </connection>
  <connection id="29" xr16:uid="{8D254010-108D-45B2-960F-341BACDE7932}" keepAlive="1" name="Połączenie34" type="5" refreshedVersion="8" saveData="1">
    <dbPr connection="Provider=Microsoft.Mashup.OleDb.1;Data Source=$Workbook$;Location=&quot;Przeplywy_tabela&quot;;Extended Properties=&quot;&quot;" command="SELECT * FROM [Przeplywy_tabela]"/>
  </connection>
  <connection id="30" xr16:uid="{E649028C-7AD1-4BC7-8F4E-F37B182D31A3}" keepAlive="1" name="Połączenie4" type="5" refreshedVersion="0" background="1">
    <dbPr connection="Provider=Microsoft.Mashup.OleDb.1;Data Source=$Workbook$;Location=&quot;Bilans_3_Tabele&quot;;Extended Properties=&quot;&quot;" commandType="0"/>
  </connection>
  <connection id="31" xr16:uid="{6AAACA43-71F8-4291-A417-D25774888228}" keepAlive="1" name="Połączenie5" type="5" refreshedVersion="0" background="1">
    <dbPr connection="Provider=Microsoft.Mashup.OleDb.1;Data Source=$Workbook$;Location=&quot;Bilans_3_Tabele&quot;;Extended Properties=&quot;&quot;" commandType="0"/>
  </connection>
  <connection id="32" xr16:uid="{0E0B435A-177C-4577-8E48-D86AC930AF93}" keepAlive="1" name="Połączenie6" type="5" refreshedVersion="0" background="1">
    <dbPr connection="Provider=Microsoft.Mashup.OleDb.1;Data Source=$Workbook$;Location=&quot;Bilans_2_Tabele&quot;;Extended Properties=&quot;&quot;" commandType="0"/>
  </connection>
  <connection id="33" xr16:uid="{7F18F003-7130-4D00-8CF7-03A72C9090F7}" keepAlive="1" name="Połączenie7" type="5" refreshedVersion="0" background="1">
    <dbPr connection="Provider=Microsoft.Mashup.OleDb.1;Data Source=$Workbook$;Location=&quot;Bilans_2_Tabele&quot;;Extended Properties=&quot;&quot;" commandType="0"/>
  </connection>
  <connection id="34" xr16:uid="{E646ADDE-5D76-479D-97D6-1E53E8E10D82}" keepAlive="1" name="Połączenie8" type="5" refreshedVersion="8" saveData="1">
    <dbPr connection="Provider=Microsoft.Mashup.OleDb.1;Data Source=$Workbook$;Location=Bilans_2_Tabele;Extended Properties=&quot;&quot;" command="SELECT * FROM [Bilans_2_Tabele]"/>
  </connection>
  <connection id="35" xr16:uid="{6E2AF0ED-15D0-4AF5-999B-92A1C4A2C9AD}" keepAlive="1" name="Połączenie9" type="5" refreshedVersion="8" saveData="1">
    <dbPr connection="Provider=Microsoft.Mashup.OleDb.1;Data Source=$Workbook$;Location=RZiS_Tabela;Extended Properties=&quot;&quot;" command="SELECT * FROM [RZiS_Tabela]"/>
  </connection>
  <connection id="36" xr16:uid="{9C9A59BD-0852-4B62-A0AB-468C161DEDA0}" keepAlive="1" name="Zapytanie — 2023_2024_aktywa" description="Połączenie z zapytaniem „2023_2024_aktywa” w skoroszycie." type="5" refreshedVersion="0" background="1">
    <dbPr connection="Provider=Microsoft.Mashup.OleDb.1;Data Source=$Workbook$;Location=2023_2024_aktywa;Extended Properties=&quot;&quot;" command="SELECT * FROM [2023_2024_aktywa]"/>
  </connection>
  <connection id="37" xr16:uid="{F44512D8-6740-43AD-8193-0DCC84413D78}" keepAlive="1" name="Zapytanie — 2023_2024_pasywa" description="Połączenie z zapytaniem „2023_2024_pasywa” w skoroszycie." type="5" refreshedVersion="8" background="1" saveData="1">
    <dbPr connection="Provider=Microsoft.Mashup.OleDb.1;Data Source=$Workbook$;Location=2023_2024_pasywa;Extended Properties=&quot;&quot;" command="SELECT * FROM [2023_2024_pasywa]"/>
  </connection>
  <connection id="38" xr16:uid="{3B2F8C5C-FA54-42B7-B158-4BFB982D17CC}" keepAlive="1" name="Zapytanie — Przepływy_2023_2024" description="Połączenie z zapytaniem „Przepływy_2023_2024” w skoroszycie." type="5" refreshedVersion="0" background="1">
    <dbPr connection="Provider=Microsoft.Mashup.OleDb.1;Data Source=$Workbook$;Location=Przepływy_2023_2024;Extended Properties=&quot;&quot;" command="SELECT * FROM [Przepływy_2023_2024]"/>
  </connection>
  <connection id="39" xr16:uid="{B208799D-CBB7-46E0-83BB-BA6A6776FF31}" keepAlive="1" name="Zapytanie — RZiS_2023_24" description="Połączenie z zapytaniem „RZiS_2023_24” w skoroszycie." type="5" refreshedVersion="0" background="1">
    <dbPr connection="Provider=Microsoft.Mashup.OleDb.1;Data Source=$Workbook$;Location=RZiS_2023_24;Extended Properties=&quot;&quot;" command="SELECT * FROM [RZiS_2023_24]"/>
  </connection>
  <connection id="40" xr16:uid="{906B2386-AF76-441D-9827-FAFAB45287E2}" keepAlive="1" name="Zapytanie — Scalanie1" description="Połączenie z zapytaniem „Scalanie1” w skoroszycie." type="5" refreshedVersion="0" background="1">
    <dbPr connection="Provider=Microsoft.Mashup.OleDb.1;Data Source=$Workbook$;Location=Scalanie1;Extended Properties=&quot;&quot;" command="SELECT * FROM [Scalani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<sst xmlns="http://schemas.openxmlformats.org/spreadsheetml/2006/main" count="6039" uniqueCount="3643">
  <si>
    <t>Rzeczowe aktywa trwałe</t>
  </si>
  <si>
    <t>Koszty administracyjne</t>
  </si>
  <si>
    <t>-</t>
  </si>
  <si>
    <t>Przychody finansowe</t>
  </si>
  <si>
    <t>Koszty finansowe</t>
  </si>
  <si>
    <t>Podatek dochodowy</t>
  </si>
  <si>
    <t>(6,3)</t>
  </si>
  <si>
    <t>9,8</t>
  </si>
  <si>
    <t>12,1</t>
  </si>
  <si>
    <t>(2,3)</t>
  </si>
  <si>
    <t>31.12.2023</t>
  </si>
  <si>
    <t>AKTYWA</t>
  </si>
  <si>
    <t>AKTYWA OBROTOWE</t>
  </si>
  <si>
    <t>Zapasy</t>
  </si>
  <si>
    <t>Pochodne instrumenty finansowe</t>
  </si>
  <si>
    <t>27,7</t>
  </si>
  <si>
    <t>RAZEM AKTYWA OBROTOWE</t>
  </si>
  <si>
    <t>RAZEM AKTYWA</t>
  </si>
  <si>
    <t>1 251,9</t>
  </si>
  <si>
    <t>905,0</t>
  </si>
  <si>
    <t>7,5</t>
  </si>
  <si>
    <t>Zyski zatrzymane</t>
  </si>
  <si>
    <t>Rezerwy</t>
  </si>
  <si>
    <t>272,6</t>
  </si>
  <si>
    <t>5,2</t>
  </si>
  <si>
    <t>- zysk netto</t>
  </si>
  <si>
    <t>STAN NA 31 GRUDNIA 2023</t>
  </si>
  <si>
    <t>(11,8)</t>
  </si>
  <si>
    <t>(1,6)</t>
  </si>
  <si>
    <t>(1,5)</t>
  </si>
  <si>
    <t>0,5</t>
  </si>
  <si>
    <t>2,1</t>
  </si>
  <si>
    <t>3,1</t>
  </si>
  <si>
    <t>Dywidendy otrzymane</t>
  </si>
  <si>
    <t>3,6</t>
  </si>
  <si>
    <t>Odsetki otrzymane</t>
  </si>
  <si>
    <t>(0,1)</t>
  </si>
  <si>
    <t>(1,3)</t>
  </si>
  <si>
    <t>INFORMACJE DODATKOWE</t>
  </si>
  <si>
    <t>2.1.1. WALUTA FUNKCJONALNA I WALUTA PREZENTACJI</t>
  </si>
  <si>
    <t>Standard</t>
  </si>
  <si>
    <t>1 stycznia 2025</t>
  </si>
  <si>
    <t>Zatwierdzenie zmiany jest odroczone przez UE</t>
  </si>
  <si>
    <t>MSSF 18 Prezentacja i ujawnienia w sprawozdaniach finansowych</t>
  </si>
  <si>
    <t>1 stycznia 2027</t>
  </si>
  <si>
    <t>Nota</t>
  </si>
  <si>
    <t>dane zatwierdzone</t>
  </si>
  <si>
    <t>31 grudnia 2024</t>
  </si>
  <si>
    <t>31 grudnia 2023</t>
  </si>
  <si>
    <t>0,1</t>
  </si>
  <si>
    <t>Odsetki</t>
  </si>
  <si>
    <t>18,6</t>
  </si>
  <si>
    <t>Dywidendy</t>
  </si>
  <si>
    <t>33,6</t>
  </si>
  <si>
    <t>Otrzymane odszkodowania, kary</t>
  </si>
  <si>
    <t>12,0</t>
  </si>
  <si>
    <t>6,0</t>
  </si>
  <si>
    <t>2,3</t>
  </si>
  <si>
    <t>3,3</t>
  </si>
  <si>
    <t>12,8</t>
  </si>
  <si>
    <t>1,5</t>
  </si>
  <si>
    <t>10,6</t>
  </si>
  <si>
    <t>48,4</t>
  </si>
  <si>
    <t>4,6</t>
  </si>
  <si>
    <t>2,0</t>
  </si>
  <si>
    <t>Darowizny</t>
  </si>
  <si>
    <t>11,7</t>
  </si>
  <si>
    <t>672,4</t>
  </si>
  <si>
    <t>0,7</t>
  </si>
  <si>
    <t>Inne</t>
  </si>
  <si>
    <t>0,2</t>
  </si>
  <si>
    <t>1,2</t>
  </si>
  <si>
    <t>(30,9)</t>
  </si>
  <si>
    <t>(12,5)</t>
  </si>
  <si>
    <t>117 411 596</t>
  </si>
  <si>
    <t>PODATEK DOCHODOWY</t>
  </si>
  <si>
    <t>(5,0)</t>
  </si>
  <si>
    <t>Podatek odroczony:</t>
  </si>
  <si>
    <t>31.12.2024</t>
  </si>
  <si>
    <t>STAN NA 1 STYCZNIA</t>
  </si>
  <si>
    <t>Razem</t>
  </si>
  <si>
    <t>3,9</t>
  </si>
  <si>
    <t>843,7</t>
  </si>
  <si>
    <t>RAZEM</t>
  </si>
  <si>
    <t>w tym:</t>
  </si>
  <si>
    <t>Kredyty bankowe</t>
  </si>
  <si>
    <t>133,9</t>
  </si>
  <si>
    <t>PLN</t>
  </si>
  <si>
    <t>52,6</t>
  </si>
  <si>
    <t>USD</t>
  </si>
  <si>
    <t>Data zawarcia</t>
  </si>
  <si>
    <t>Cel</t>
  </si>
  <si>
    <t>Oprocen-towanie</t>
  </si>
  <si>
    <t>353,5</t>
  </si>
  <si>
    <t>09.12.2020</t>
  </si>
  <si>
    <t>30.09.2024</t>
  </si>
  <si>
    <t>kwartalnie od czerwca 2021 roku</t>
  </si>
  <si>
    <t>PLN -</t>
  </si>
  <si>
    <t>23.12.2020</t>
  </si>
  <si>
    <t>UMOWA FINANSOWANIA Z KONSORCJUM Z 2023 ROKU, w tym:</t>
  </si>
  <si>
    <t>361,5</t>
  </si>
  <si>
    <t>KREDYT ODNAWIALNY B</t>
  </si>
  <si>
    <t>12.04.2023</t>
  </si>
  <si>
    <t>zmienne</t>
  </si>
  <si>
    <t>28.12.2030</t>
  </si>
  <si>
    <t>kwartalnie od czerwca 2023 roku</t>
  </si>
  <si>
    <t>kwartalnie od czerwca 2025 roku</t>
  </si>
  <si>
    <t>KREDYT TERMINOWY A</t>
  </si>
  <si>
    <t>133,1</t>
  </si>
  <si>
    <t>128,7</t>
  </si>
  <si>
    <t>20.07.2021</t>
  </si>
  <si>
    <t>20.12.2030</t>
  </si>
  <si>
    <t>kwartalnie od marca 2029 roku</t>
  </si>
  <si>
    <t>08.11.2021</t>
  </si>
  <si>
    <t>kwartalnie od marca 2022 roku</t>
  </si>
  <si>
    <t>04.10.2023</t>
  </si>
  <si>
    <t>30.09.2030</t>
  </si>
  <si>
    <t>UMOWA FINANSOWANIA Z KONSORCJUM Z 2023 ROKU</t>
  </si>
  <si>
    <t>Zabezpieczenia Umowy Finansowania z Konsorcjum:</t>
  </si>
  <si>
    <t>(6,0)</t>
  </si>
  <si>
    <t>(6,7)</t>
  </si>
  <si>
    <t>85,0</t>
  </si>
  <si>
    <t>Naliczone odsetki i prowizje</t>
  </si>
  <si>
    <t>(0,8)</t>
  </si>
  <si>
    <t>Grunty</t>
  </si>
  <si>
    <t>Budynki i budowle</t>
  </si>
  <si>
    <t>1 535,8</t>
  </si>
  <si>
    <t>232,8</t>
  </si>
  <si>
    <t>1,8</t>
  </si>
  <si>
    <t>6,1</t>
  </si>
  <si>
    <t>Zmniejszenia</t>
  </si>
  <si>
    <t>(1,4)</t>
  </si>
  <si>
    <t>(0,2)</t>
  </si>
  <si>
    <t>(0,3)</t>
  </si>
  <si>
    <t>Amortyzacja</t>
  </si>
  <si>
    <t>(7,0)</t>
  </si>
  <si>
    <t>0,4</t>
  </si>
  <si>
    <t>8,7</t>
  </si>
  <si>
    <t>Informacja geologiczna</t>
  </si>
  <si>
    <t>24,6</t>
  </si>
  <si>
    <t>81,9</t>
  </si>
  <si>
    <t>(24,9)</t>
  </si>
  <si>
    <t>38,2</t>
  </si>
  <si>
    <t>(0,6)</t>
  </si>
  <si>
    <t>(25,2)</t>
  </si>
  <si>
    <t>0,6</t>
  </si>
  <si>
    <t>2,8</t>
  </si>
  <si>
    <t>9,1</t>
  </si>
  <si>
    <t>Umorzenie *</t>
  </si>
  <si>
    <t>Nowe umowy leasingu</t>
  </si>
  <si>
    <t>1,1</t>
  </si>
  <si>
    <t>9,3</t>
  </si>
  <si>
    <t>(0,7)</t>
  </si>
  <si>
    <t>(1,7)</t>
  </si>
  <si>
    <t>(1,8)</t>
  </si>
  <si>
    <t>0,3</t>
  </si>
  <si>
    <t>1,3</t>
  </si>
  <si>
    <t>2,7</t>
  </si>
  <si>
    <t>201,4</t>
  </si>
  <si>
    <t>14,0</t>
  </si>
  <si>
    <t>7,2</t>
  </si>
  <si>
    <t>257,9</t>
  </si>
  <si>
    <t>5,0</t>
  </si>
  <si>
    <t>(0,5)</t>
  </si>
  <si>
    <t>Siedziba</t>
  </si>
  <si>
    <t>31.12.2023 31.12.2024</t>
  </si>
  <si>
    <t>96,28%</t>
  </si>
  <si>
    <t>60,40%</t>
  </si>
  <si>
    <t>95,81%</t>
  </si>
  <si>
    <t>10,7</t>
  </si>
  <si>
    <t>51,9</t>
  </si>
  <si>
    <t>(64,0)</t>
  </si>
  <si>
    <t>Lokaty bankowe</t>
  </si>
  <si>
    <t>22,5</t>
  </si>
  <si>
    <t>178,9</t>
  </si>
  <si>
    <t>237,8</t>
  </si>
  <si>
    <t>Seria</t>
  </si>
  <si>
    <t>27,3</t>
  </si>
  <si>
    <t>ZAPASY</t>
  </si>
  <si>
    <t>16,3</t>
  </si>
  <si>
    <t>21,9</t>
  </si>
  <si>
    <t>7,3</t>
  </si>
  <si>
    <t>Przeterminowane</t>
  </si>
  <si>
    <t>(0,9)</t>
  </si>
  <si>
    <t>22,8</t>
  </si>
  <si>
    <t>(0,4)</t>
  </si>
  <si>
    <t>(10,6)</t>
  </si>
  <si>
    <t>(5,3)</t>
  </si>
  <si>
    <t>Odsetki zarachowane od lokat</t>
  </si>
  <si>
    <t>ZYSKI ZATRZYMANE</t>
  </si>
  <si>
    <t>DYWIDENDY</t>
  </si>
  <si>
    <t>Liczba akcji (szt.)</t>
  </si>
  <si>
    <t>Korekta hiperinflacyjna</t>
  </si>
  <si>
    <t>587,0</t>
  </si>
  <si>
    <t>664,9</t>
  </si>
  <si>
    <t>Stan na 31 grudnia 2023 roku</t>
  </si>
  <si>
    <t>A</t>
  </si>
  <si>
    <t>99 524 020</t>
  </si>
  <si>
    <t>B</t>
  </si>
  <si>
    <t>9 325 580</t>
  </si>
  <si>
    <t>C</t>
  </si>
  <si>
    <t>2 157 886</t>
  </si>
  <si>
    <t>D</t>
  </si>
  <si>
    <t>6 404 110</t>
  </si>
  <si>
    <t>Akcjonariusz</t>
  </si>
  <si>
    <t>64 775 542</t>
  </si>
  <si>
    <t>55,16%</t>
  </si>
  <si>
    <t>Pozostali akcjonariusze</t>
  </si>
  <si>
    <t>52 636 054</t>
  </si>
  <si>
    <t>44,84%</t>
  </si>
  <si>
    <t>100,00%</t>
  </si>
  <si>
    <t>3,0</t>
  </si>
  <si>
    <t>12,7</t>
  </si>
  <si>
    <t>7,1</t>
  </si>
  <si>
    <t>2,2</t>
  </si>
  <si>
    <t>1,9</t>
  </si>
  <si>
    <t>REZERWY</t>
  </si>
  <si>
    <t>925,9</t>
  </si>
  <si>
    <t>238,1</t>
  </si>
  <si>
    <t>15,9</t>
  </si>
  <si>
    <t>99,4</t>
  </si>
  <si>
    <t>15,5</t>
  </si>
  <si>
    <t>941,8</t>
  </si>
  <si>
    <t>337,5</t>
  </si>
  <si>
    <t>Utworzenie dodatkowych rezerw</t>
  </si>
  <si>
    <t>Wykorzystanie rezerw</t>
  </si>
  <si>
    <t>(2,7)</t>
  </si>
  <si>
    <t>Kopalnie</t>
  </si>
  <si>
    <t>DOTACJE</t>
  </si>
  <si>
    <t>Zmiana stanu rezerw</t>
  </si>
  <si>
    <t>16,8</t>
  </si>
  <si>
    <t>20,7</t>
  </si>
  <si>
    <t>(4,6)</t>
  </si>
  <si>
    <t>(9,0)</t>
  </si>
  <si>
    <t>INSTRUMENTY FINANSOWE</t>
  </si>
  <si>
    <t>AKTYWA FINANSOWE</t>
  </si>
  <si>
    <t>(3,5)</t>
  </si>
  <si>
    <t>POCHODNE INSTRUMENTY FINANSOWE</t>
  </si>
  <si>
    <t>Aktywa finansowe po przeliczeniu na PLN:</t>
  </si>
  <si>
    <t>Forwardy walutowe:</t>
  </si>
  <si>
    <t>2,9</t>
  </si>
  <si>
    <t>â€“ USD - - -</t>
  </si>
  <si>
    <t>5,7</t>
  </si>
  <si>
    <t>18,7</t>
  </si>
  <si>
    <t>Kontrakt</t>
  </si>
  <si>
    <t>FORWARD WALUTOWY</t>
  </si>
  <si>
    <t>SWAP TOWAROWY</t>
  </si>
  <si>
    <t>Aktywa</t>
  </si>
  <si>
    <t>Zmiana</t>
  </si>
  <si>
    <t>Pozycja</t>
  </si>
  <si>
    <t>RYZYKO WALUTOWE</t>
  </si>
  <si>
    <t>6,9</t>
  </si>
  <si>
    <t>Kredyty denominowane w USD</t>
  </si>
  <si>
    <t>20,5</t>
  </si>
  <si>
    <t>RYZYKO CENOWE</t>
  </si>
  <si>
    <t>Pozycja zabezpieczana</t>
  </si>
  <si>
    <t>(6,9)</t>
  </si>
  <si>
    <t>(2,1)</t>
  </si>
  <si>
    <t>(5,8)</t>
  </si>
  <si>
    <t>Rodzaj ryzyka</t>
  </si>
  <si>
    <t>Wycena</t>
  </si>
  <si>
    <t>Instrumenty pochodne - Fx Forward</t>
  </si>
  <si>
    <t>hedging naturalny</t>
  </si>
  <si>
    <t>Analiza wiekowa</t>
  </si>
  <si>
    <t>Ratingi kredytowe</t>
  </si>
  <si>
    <t>Strategia i roczne prognozy (PTE)</t>
  </si>
  <si>
    <t>EUR</t>
  </si>
  <si>
    <t>24,5</t>
  </si>
  <si>
    <t>82,0</t>
  </si>
  <si>
    <t>Pochodne instrumenty finansowe wyceniane przez wynik finansowy (aktywa) 2,0 -</t>
  </si>
  <si>
    <t>13,1</t>
  </si>
  <si>
    <t>(157,3)</t>
  </si>
  <si>
    <t>200,7</t>
  </si>
  <si>
    <t>Kurs EUR/PLN</t>
  </si>
  <si>
    <t>wynik netto</t>
  </si>
  <si>
    <t>zmiana % 5,4%</t>
  </si>
  <si>
    <t>7,1% 10,6%</t>
  </si>
  <si>
    <t>10,4%</t>
  </si>
  <si>
    <t>(2,9)</t>
  </si>
  <si>
    <t>Typ transakcji</t>
  </si>
  <si>
    <t>Termin rozliczenia transakcji</t>
  </si>
  <si>
    <t>do 1 m-ca</t>
  </si>
  <si>
    <t>od 2 do 3 m-cy</t>
  </si>
  <si>
    <t>od 4 do 6 m-cy</t>
  </si>
  <si>
    <t>od 7 do 12 m-cy</t>
  </si>
  <si>
    <t>Fx Forward</t>
  </si>
  <si>
    <t>11,1</t>
  </si>
  <si>
    <t>0,8</t>
  </si>
  <si>
    <t>Swap towarowy</t>
  </si>
  <si>
    <t>(2,2)</t>
  </si>
  <si>
    <t>(4,5)</t>
  </si>
  <si>
    <t>Stopa procentowa PLN</t>
  </si>
  <si>
    <t>Stopa procentowa USD</t>
  </si>
  <si>
    <t>Stopa procentowa EUR</t>
  </si>
  <si>
    <t>+100pb</t>
  </si>
  <si>
    <t>+200pb +100pb +200pb</t>
  </si>
  <si>
    <t>+200pb</t>
  </si>
  <si>
    <t>56,9</t>
  </si>
  <si>
    <t>- 0,5 0,9</t>
  </si>
  <si>
    <t>0,6 0,4 0,8</t>
  </si>
  <si>
    <t>Bank</t>
  </si>
  <si>
    <t>Rating</t>
  </si>
  <si>
    <t>Agencja ratingowa 31.12.2024</t>
  </si>
  <si>
    <t>A2</t>
  </si>
  <si>
    <t>A-</t>
  </si>
  <si>
    <t>BBB</t>
  </si>
  <si>
    <t>FITCH 0,5%</t>
  </si>
  <si>
    <t>100,0%</t>
  </si>
  <si>
    <t>19,6</t>
  </si>
  <si>
    <t>31 grudnia 2024 (tys. PLN)</t>
  </si>
  <si>
    <t>31 grudnia 2023 (tys. PLN)</t>
  </si>
  <si>
    <t>RAZEM 5 913,1 4 319,7</t>
  </si>
  <si>
    <t>733,1</t>
  </si>
  <si>
    <t>RAZEM 926,2</t>
  </si>
  <si>
    <t>ZDARZENIA W KOPALNIACH JSW</t>
  </si>
  <si>
    <t>Ryszard Janta</t>
  </si>
  <si>
    <t>Podpisano kwalifikowanym podpisem elektronicznym</t>
  </si>
  <si>
    <t>Jolanta Gruszka</t>
  </si>
  <si>
    <t>Adam Rozmus</t>
  </si>
  <si>
    <t>ZA ROK OBROTOWY ZAKOŁCZONY 31 GRUDNIA 2024 ROKU</t>
  </si>
  <si>
    <t>(Wszystkie kwoty w tabelach wyrażone w milionach PLN, o ile nie podano inaczej)</t>
  </si>
  <si>
    <t>SPIS TREŚCI</t>
  </si>
  <si>
    <t>(dane przekształcone)*</t>
  </si>
  <si>
    <t>Przychody ze sprzedaży</t>
  </si>
  <si>
    <t>Koszt sprzedanych produktów, materiałów i towarów</t>
  </si>
  <si>
    <t>Koszty sprzedaży</t>
  </si>
  <si>
    <t>Pozostałe koszty</t>
  </si>
  <si>
    <t>AKTYWA TRWAŁE</t>
  </si>
  <si>
    <t>Wartości niematerialne</t>
  </si>
  <si>
    <t>Prawo do użytkowania składnika aktywów</t>
  </si>
  <si>
    <t>Nieruchomości inwestycyjne</t>
  </si>
  <si>
    <t>Aktywa z tytułu odroczonego podatku dochodowego</t>
  </si>
  <si>
    <t>Pozostałe długoterminowe aktywa finansowe</t>
  </si>
  <si>
    <t>RAZEM AKTYWA TRWAŁE</t>
  </si>
  <si>
    <t>Należności handlowe oraz pozostałe należności</t>
  </si>
  <si>
    <t>Nadpłacony podatek dochodowy</t>
  </si>
  <si>
    <t>Środki pieniężne i ich ekwiwalenty</t>
  </si>
  <si>
    <t>KAPITAŁ WŁASNY</t>
  </si>
  <si>
    <t>Kapitał podstawowy</t>
  </si>
  <si>
    <t>Nadwyżka wartości emisyjnej akcji nad ich wartością nominalną</t>
  </si>
  <si>
    <t>Kapitał z tytułu wyceny instrumentów finansowych</t>
  </si>
  <si>
    <t>RAZEM KAPITAŁ WŁASNY</t>
  </si>
  <si>
    <t>ZOBOWIĄZANIA</t>
  </si>
  <si>
    <t>ZOBOWIĄZANIA DŁUGOTERMINOWE</t>
  </si>
  <si>
    <t>Kredyty i pożyczki</t>
  </si>
  <si>
    <t>Zobowiązania z tytułu odroczonego podatku dochodowego</t>
  </si>
  <si>
    <t>Zobowiązania z tytułu świadczeń pracowniczych</t>
  </si>
  <si>
    <t>Zobowiązania z tytułu leasingu</t>
  </si>
  <si>
    <t>Zobowiązania handlowe oraz pozostałe zobowiązania</t>
  </si>
  <si>
    <t>RAZEM ZOBOWIĄZANIA DŁUGOTERMINOWE</t>
  </si>
  <si>
    <t>ZOBOWIĄZANIA KRÓTKOTERMINOWE</t>
  </si>
  <si>
    <t>RAZEM ZOBOWIĄZANIA KRÓTKOTERMINOWE</t>
  </si>
  <si>
    <t>RAZEM ZOBOWIĄZANIA</t>
  </si>
  <si>
    <t>RAZEM KAPITAŁ WŁASNY I ZOBOWIĄZANIA</t>
  </si>
  <si>
    <t>Całkowite dochody razem:</t>
  </si>
  <si>
    <t>- inne całkowite dochody</t>
  </si>
  <si>
    <t>PRZEPŁYWY PIENIĘŻNE Z DZIAŁALNOŚCI OPERACYJNEJ</t>
  </si>
  <si>
    <t>Wpływy pieniężne z działalności operacyjnej</t>
  </si>
  <si>
    <t>Odsetki zapłacone</t>
  </si>
  <si>
    <t>Podatek dochodowy zapłacony</t>
  </si>
  <si>
    <t>PRZEPŁYWY PIENIĘŻNE NETTO Z DZIAŁALNOŚCI OPERACYJNEJ</t>
  </si>
  <si>
    <t>PRZEPŁYWY PIENIĘŻNE Z DZIAŁALNOŚCI INWESTYCYJNEJ</t>
  </si>
  <si>
    <t>Nabycie rzeczowych aktywów trwałych</t>
  </si>
  <si>
    <t>Nabycie wartości niematerialnych</t>
  </si>
  <si>
    <t>Nabycie aktywów finansowych</t>
  </si>
  <si>
    <t>Wpływy ze sprzedaży rzeczowych aktywów trwałych</t>
  </si>
  <si>
    <t>Sprzedaż aktywów finansowych</t>
  </si>
  <si>
    <t>PRZEPŁYWY PIENIĘŻNE NETTO Z DZIAŁALNOŚCI INWESTYCYJNEJ</t>
  </si>
  <si>
    <t>PRZEPŁYWY PIENIĘŻNE Z DZIAŁALNOŚCI FINANSOWEJ</t>
  </si>
  <si>
    <t>Otrzymane kredyty i pożyczki</t>
  </si>
  <si>
    <t>Spłaty kredytów i pożyczek</t>
  </si>
  <si>
    <t>Płatności związane z leasingiem</t>
  </si>
  <si>
    <t>Odsetki i prowizje zapłacone z działalności finansowej</t>
  </si>
  <si>
    <t>PRZEPŁYWY PIENIĘŻNE NETTO Z DZIAŁALNOŚCI FINANSOWEJ</t>
  </si>
  <si>
    <t>ZMIANA NETTO STANU ŚRODKÓW PIENIĘŻNYCH I ICH EKWIWALENTÓW</t>
  </si>
  <si>
    <t>Środki pieniężne i ich ekwiwalenty na początek okresu</t>
  </si>
  <si>
    <t>Różnice kursowe z przeliczenia środków pieniężnych i ich ekwiwalentów</t>
  </si>
  <si>
    <t>ŚRODKI PIENIĘŻNE I ICH EKWIWALENTY NA KONIEC OKRESU</t>
  </si>
  <si>
    <t>1. INFORMACJE OGÓLNE</t>
  </si>
  <si>
    <t>1.1. NAZWA, SIEDZIBA, PRZEDMIOT DZIAŁALNOŚCI</t>
  </si>
  <si>
    <t>2. ZASADY RACHUNKOWOŚCI</t>
  </si>
  <si>
    <t>2.1. PODSTAWA SPORZĄDZENIA SPRAWOZDANIA FINANSOWEGO</t>
  </si>
  <si>
    <t>2.2. ZAŁOŻENIE KONTYNUACJI DZIAŁALNOŚCI</t>
  </si>
  <si>
    <t>2.2.1. WPŁYW ZMIAN (RYZYK) KLIMATYCZNYCH NA PROWADZONĄ DZIAŁALNOŚĘ† ORAZ SYTUACJĘ FINANSOWĄ</t>
  </si>
  <si>
    <t>Aktualna polityka rozwoju gospodarczego UE szczególnie silnie akcentuje kwestie klimatyczne, które określone zostały w Europejskim Zielonym Ładzie, pakiecie Fit for 55 i dokumentach towarzyszących, co w konsekwencji oznacza konieczność transformacji przemysłu w kierunku gospodarki niskoemisyjnej.</t>
  </si>
  <si>
    <t>2.3. POLITYKA RACHUNKOWOŚCI ORAZ WAŻNE OSZACOWANIA I OSĄDY KSIĘGOWE</t>
  </si>
  <si>
    <t>Data wejścia w życie *</t>
  </si>
  <si>
    <t>Zmiany do MSR 21 Skutki zmian kursów wymiany walut obcych â€“ w zakresie braku możliwości wymiany</t>
  </si>
  <si>
    <t>* Okresy roczne rozpoczynające się dnia lub po tej dacie.</t>
  </si>
  <si>
    <t>* Okresy roczne rozpoczynające się dnia lub po tej dacie, określone przez RMSR, które po zatwierdzeniu przez UE mogą ulec zmianie.</t>
  </si>
  <si>
    <t>dane przekształcone</t>
  </si>
  <si>
    <t>PRZYCHODY ZE SPRZEDAŻY</t>
  </si>
  <si>
    <t>Przychody z umów z klientami ujmowane są jako kwoty równe cenie transakcyjnej, która została przypisana do danego zobowiązania do wykonania świadczenia.</t>
  </si>
  <si>
    <t>Za rok obrotowy zakończony</t>
  </si>
  <si>
    <t>INFORMACJE DOTYCZĄCE OBSZARÓW GEOGRAFICZNYCH</t>
  </si>
  <si>
    <t>Podział geograficzny przychodów ze sprzedaży został zaprezentowany według siedziby kraju kontrahenta, który dokonuje zakupu:</t>
  </si>
  <si>
    <t>Sprzedaż na terenie Polski, w tym:</t>
  </si>
  <si>
    <t>Sprzedaż poza Polskę, w tym:</t>
  </si>
  <si>
    <t>Przychody ze sprzedaży â€“ podział geograficzny według kraju kontrahenta, który dokonuje zakupu:</t>
  </si>
  <si>
    <t>INFORMACJE DOTYCZĄCE GŁÓWNYCH KLIENTÓW</t>
  </si>
  <si>
    <t>KOSZT SPRZEDANYCH PRODUKTÓW, MATERIAŁÓW I TOWARÓW</t>
  </si>
  <si>
    <t>Całkowity koszt sprzedanych produktów, materiałów i towarów stanowi:</t>
  </si>
  <si>
    <t>Otrzymana pomoc finansowa dla sektorów energochłonnych związana ze wzrostami cen gazu ziemnego i energii elektrycznej</t>
  </si>
  <si>
    <t>Odwrócenie odpisu aktualizującego należności i pozostałe aktywa finansowe</t>
  </si>
  <si>
    <t>Ujawnienie towarów</t>
  </si>
  <si>
    <t>Dotacje (odpisane w wysokości amortyzacji)</t>
  </si>
  <si>
    <t>Pozostałe</t>
  </si>
  <si>
    <t>RAZEM POZOSTAŁE PRZYCHODY</t>
  </si>
  <si>
    <t>Utworzenie rezerwy na spory sądowe</t>
  </si>
  <si>
    <t>Opłaty egzekucyjne i kary</t>
  </si>
  <si>
    <t>RAZEM POZOSTAŁE KOSZTY</t>
  </si>
  <si>
    <t>Różnice kursowe dotyczące działalności operacyjnej</t>
  </si>
  <si>
    <t>RAZEM POZOSTAŁE ZYSKI â€“ NETTO</t>
  </si>
  <si>
    <t>Bieżące obciążenie z tytułu podatku dochodowego jest obliczane na podstawie obowiązujących przepisów podatkowych i naliczane jest od dochodu do opodatkowania za dany okres oraz ujmowane jako zobowiązanie do zapłaty. W sytuacji, gdy wartość zapłaconych zaliczek miesięcznych przekracza wartość podatku należnego wówczas powstaje należność, która zostanie zwrócona przez Urząd Skarbowy po złożeniu deklaracji rocznej CIT-8.</t>
  </si>
  <si>
    <t>Odroczony podatek dochodowy ustala się przy zastosowaniu stawek podatkowych, które zgodnie z oczekiwaniami będą obowiązywać w momencie, gdy wartości księgowe aktywów i zobowiązań zostaną zrealizowane, przyjmując za podstawę przepisy podatkowe, które obowiązywały na dzień kończący okres sprawozdawczy.</t>
  </si>
  <si>
    <t>ISTOTNE SZACUNKI I OSĄDY</t>
  </si>
  <si>
    <t>Realizowalność aktywa z tytułu podatku odroczonego</t>
  </si>
  <si>
    <t>Składka solidarnościowa</t>
  </si>
  <si>
    <t>Podatek dochodowy ujęty w wyniku netto:</t>
  </si>
  <si>
    <t>Podatek dochodowy ujęty w innych całkowitych dochodach:</t>
  </si>
  <si>
    <t>Zmiana stanu odroczonego podatku dochodowego przedstawia się następująco:</t>
  </si>
  <si>
    <t>AKTYWA Z TYTUŁU ODROCZONEGO PODATKU DOCHODOWEGO</t>
  </si>
  <si>
    <t>Szacunki i wyliczenia, które mają wpływ na wycenę zobowiązań z tytułu leasingu oraz aktywów z tytułu prawa do użytkowania:</t>
  </si>
  <si>
    <t>ZOBOWIĄZANIA Z TYTUŁU ZADŁUŻENIA</t>
  </si>
  <si>
    <t>długoterminowe</t>
  </si>
  <si>
    <t>krótkoterminowe</t>
  </si>
  <si>
    <t>Pożyczki</t>
  </si>
  <si>
    <t>Średnie (nominalne) oprocentowanie kredytów i pożyczek:</t>
  </si>
  <si>
    <t>Termin spłaty</t>
  </si>
  <si>
    <t>POŻYCZKA PŁYNNOŚCIOWA POLSKIEGO FUNDUSZU ROZWOJU</t>
  </si>
  <si>
    <t>Finansowanie bieżącej działalności, w tym kapitału obrotowego</t>
  </si>
  <si>
    <t>stałe</t>
  </si>
  <si>
    <t>POŻYCZKA PREFERENCYJNA POLSKIEGO FUNDUSZU ROZWOJU</t>
  </si>
  <si>
    <t>Refinansowanie pożyczki terminowej oraz kredytów terminowych A i C otrzymanych w ramach Umowy Finansowania z Konsorcjum zawartej w 2019 roku, finansowanie celów ogólnokorporacyjnych, oraz inwestycji, a także finansowanie wybranych inwestycji środowiskowych</t>
  </si>
  <si>
    <t>POŻYCZKA TERMINOWA A</t>
  </si>
  <si>
    <t>POŻYCZKA TERMINOWA B</t>
  </si>
  <si>
    <t>POZOSTAŁE UMOWY FINANSOWANIA:</t>
  </si>
  <si>
    <t>POŻYCZKA Z NFOŚiGW</t>
  </si>
  <si>
    <t>Finansowanie przedsięwzięcia â€žRekultywacja terenu położonego pomiędzy rzeką â€žSzotkówkąâ€ť, a zwałowiskiem â€žPochwacieâ€ť w Połomii â€“ Etap IIâ€ť</t>
  </si>
  <si>
    <t>Finansowanie przedsięwzięcia â€žGospodarcze wykorzystanie metanu â€“ Ruch Knurówâ€ť</t>
  </si>
  <si>
    <t>listopad 2023 roku, następnie kwartalnie od grudnia 2023 roku</t>
  </si>
  <si>
    <t>W dniu 12 kwietnia 2023 roku została zawarta Umowa Finansowania dotycząca finansowania w formule Sustainabilityâ€“linked loan, pomiędzy JSW a instytucjami finansowymi wchodzącymi w skład Konsorcjum tj.: Agencją Rozwoju Przemysłu S.A., Alior Bankiem S.A., Bankiem Gospodarstwa Krajowego, Bankiem Polska Kasa Opieki S.A., Powszechną Kasą Oszczędności Bank Polski S.A., Powszechnym Zakładem Ubezpieczeń S.A., Powszechnym Zakładem Ubezpieczeń na Życie S.A. oraz Towarzystwem Finansowym â€žSilesiaâ€ť Sp. z o.o. na łączną kwotę 1 650,0 mln PLN. Dodatkowo gwarantem części finansowania jest Korporacja Ubezpieczeń Kredytów Eksportowych S. A. (â€žKUKEâ€ť).</t>
  </si>
  <si>
    <t>Finansowanie zostało udzielone w formie: kredytu odnawialnego w kwocie 430,0 mln PLN, dwóch pożyczek terminowych w łącznej kwocie 250,0 mln PLN, kredytu środowiskowego w kwocie 340,0 mln PLN, dwóch pożyczek środowiskowych w łącznej kwocie 150,0 mln PLN oraz kredytów terminowych w kwocie stanowiącej równowartość w USD kwoty 190,0 mln PLN oraz równowartość w EUR kwoty 290,0 mln PLN. Ostateczny termin spłaty zobowiązań względem Konsorcjum określono na dzień 28 grudnia 2030 roku, przy czym finansowanie w formie kredytu odnawialnego dostępne będzie do grudnia 2027 roku z możliwością jego przedłużenia maksymalnie o 2 lata. Beneficjent udzielonego finansowania przeznaczy pozyskane środki m.in. na: refinansowanie pożyczki terminowej oraz kredytów terminowych A i C otrzymanych w ramach Umowy Finansowania z Konsorcjum zawartej w 2019 roku, finansowanie celów ogólnokorporacyjnych oraz inwestycji, a także finansowanie wybranych inwestycji środowiskowych.</t>
  </si>
  <si>
    <t>Zaciągnięcie</t>
  </si>
  <si>
    <t>Spłata (kapitału)</t>
  </si>
  <si>
    <t>Zmianę stanu zadłużenia na dzień 31 grudnia 2023 roku przedstawia poniższa tabela:</t>
  </si>
  <si>
    <t>Modyfikacje umów leasingowych</t>
  </si>
  <si>
    <t>Płatności z tytułu zadłużenia:</t>
  </si>
  <si>
    <t>Różnice kursowe</t>
  </si>
  <si>
    <t>Inne zwiększenia/(zmniejszenia)</t>
  </si>
  <si>
    <t>RZECZOWE AKTYWA TRWAŁE</t>
  </si>
  <si>
    <t>Najistotniejsze pozycje rzeczowych aktywów trwałych stanowią:</t>
  </si>
  <si>
    <t>Na dzień początkowego ujęcia rzeczowe aktywa trwałe wycenia się w cenie nabycia lub koszcie wytworzenia. Na dzień kończący okres sprawozdawczy rzeczowe aktywa trwałe wycenia się w wartości początkowej pomniejszonej o skumulowane umorzenie oraz skumulowane odpisy z tytułu utraty wartości.</t>
  </si>
  <si>
    <t>W wartości początkowej rzeczowych aktywów trwałych ujmuje się zdyskontowane koszty likwidacji rzeczowych aktywów trwałych wykorzystywanych w działalności górniczej podziemnej, które zgodnie z obowiązującą ustawą Prawo geologiczne i górnicze podlegają likwidacji po zakończeniu działalności.</t>
  </si>
  <si>
    <t>Prezentowane w wartości początkowej rzeczowych aktywów trwałych koszty likwidacji kopalń podlegają amortyzacji taką metodą, jaką amortyzowane są rzeczowe aktywa trwałe, których dotyczą, począwszy od momentu rozpoczęcia użytkowania danego składnika rzeczowych aktywów trwałych, przez okres ustalony w planie likwidacji grup obiektów w ramach przewidywanego harmonogramu likwidacji kopalni.</t>
  </si>
  <si>
    <t>W wartości początkowej rzeczowych aktywów trwałych (jako część ceny nabycia lub kosztu wytworzenia) uwzględnia się koszty finansowania zewnętrznego zaciągniętego na nabycie lub wytworzenie dostosowywanego składnika aktywów. W zakresie, w jakim środki finansowe pożycza się specjalnie w celu pozyskania dostosowywanego składnika aktywów, kwotę kosztów finansowania zewnętrznego, którą można aktywować jako część tego składnika aktywów, ustala się jako różnicę między rzeczywistymi kosztami finansowania zewnętrznego poniesionymi z tytułu danej pożyczki lub kredytu w danym okresie, a przychodami z tytułu tymczasowego zainwestowania pożyczonych środków. W sytuacji, gdy środki finansowe pożycza się bez ściśle określonego celu, a następnie przeznacza na pozyskanie dostosowywanego składnika aktywów, kwotę kosztów finansowania zewnętrznego, które mogą być aktywowane, ustala się poprzez zastosowanie odpowiedniej stopy kapitalizacji do nakładów poniesionych na ten składnik majątku.</t>
  </si>
  <si>
    <t>Szacowane okresy użytkowania dla poszczególnych grup rzeczowych aktywów trwałych wynoszą odpowiednio:</t>
  </si>
  <si>
    <t>Zyski i straty z tytułu zbycia rzeczowych aktywów trwałych ustala się drogą porównania wpływów ze sprzedaży z ich wartością księgową i ujmuje w wyniku finansowym jako pozostałe zyski/(straty) - netto.</t>
  </si>
  <si>
    <t>ISTOTNE ZASADY RACHUNKOWOŚCI</t>
  </si>
  <si>
    <t>Utrata wartości</t>
  </si>
  <si>
    <t>Okresy użytkowania rzeczowych aktywów trwałych</t>
  </si>
  <si>
    <t>Sposób rozliczania (amortyzacji) wyrobisk ruchowych i zbrojenia ścian</t>
  </si>
  <si>
    <t>Wyrobiska ruchowe są rozliczane proporcjonalnie do wielkości wydobycia węgla z poszczególnych rejonów ścianowych. Długość okresu rozliczania danego wyrobiska ruchowego jest uzależniona od szacunku ilości węgla znajdującego się w danym pokładzie udostępnionym w ramach wyrobiska ruchowego.</t>
  </si>
  <si>
    <t>Nakłady na zbrojenie ścian są rozliczane proporcjonalnie do ilości wydobytych ton węgla ze zbrojonej ściany. Długość okresu rozliczania jest uzależniona od oszacowanych zasobów węgla znajdujących się w zbrojonej ścianie.</t>
  </si>
  <si>
    <t>Urządzenia techniczne i maszyny</t>
  </si>
  <si>
    <t>Inne rzeczowe aktywa trwałe</t>
  </si>
  <si>
    <t>Wartość brutto</t>
  </si>
  <si>
    <t>WARTOŚĘ† KSIĘGOWA NETTO</t>
  </si>
  <si>
    <t>Nakłady inwestycyjne</t>
  </si>
  <si>
    <t>Zwiększenia</t>
  </si>
  <si>
    <t>Aktualizacja rezerwy na koszty likwidacji zakładu górniczego</t>
  </si>
  <si>
    <t>Odpis aktualizujący - odwrócenie</t>
  </si>
  <si>
    <t>AMORTYZACJA RZECZOWYCH AKTYWÓW TRWAŁYCH</t>
  </si>
  <si>
    <t>POZOSTAŁE INFORMACJE DOTYCZĄCE RZECZOWYCH AKTYWÓW TRWAŁYCH</t>
  </si>
  <si>
    <t>WARTOŚCI NIEMATERIALNE</t>
  </si>
  <si>
    <t>Prawo do korzystania z informacji geologicznej, zakupione licencje na oprogramowanie komputerowe, autorskie prawa majątkowe aktywowane są w wysokości kosztów poniesionych na ich nabycie. Aktywowane koszty odpisuje się przez szacowany okres użytkowania, który wynosi odpowiednio:</t>
  </si>
  <si>
    <t>Okresy użytkowania wartości niematerialnych</t>
  </si>
  <si>
    <t>Pozostałe wartości niematerialne</t>
  </si>
  <si>
    <t>AMORTYZACJA WARTOŚCI NIEMATERIALNYCH</t>
  </si>
  <si>
    <t>POZOSTAŁE INFORMACJE DOTYCZĄCE WARTOŚCI NIEMATERIALNYCH</t>
  </si>
  <si>
    <t>PRAWO DO UŻYTKOWANIA SKŁADNIKA AKTYWÓW</t>
  </si>
  <si>
    <t>Na dzień początkowego ujęcia składniki aktywów z tytułu prawa do użytkowania wycenia się według kosztu, który obejmuje:</t>
  </si>
  <si>
    <t>Szacowane okresy użytkowania dla poszczególnych grup prawa do użytkowania składnika aktywów wynoszą odpowiednio:</t>
  </si>
  <si>
    <t>Płatności związane z leasingiem krótkoterminowym i leasingiem aktywów o niskiej wartości ujmowane są liniowo w kosztach bieżącego okresu.</t>
  </si>
  <si>
    <t>Prawo wieczystego użytkowania gruntów</t>
  </si>
  <si>
    <t>* Pozycja obejmuje umorzenie oraz odpisy aktualizujące prawo do użytkowania składnika aktywów.</t>
  </si>
  <si>
    <t>Odpis aktualizujący - utworzenie</t>
  </si>
  <si>
    <t>KOSZTY Z TYTUŁU LEASINGU</t>
  </si>
  <si>
    <t>POZOSTAŁE INFORMACJE DOTYCZĄCE PRAWA DO UŻYTKOWANIA SKŁADNIKA AKTYWÓW</t>
  </si>
  <si>
    <t>UTRATA WARTOŚCI AKTYWÓW NIEFINANSOWYCH</t>
  </si>
  <si>
    <t>W przypadku, gdy wartość księgowa danego składnika niefinansowych aktywów trwałych przewyższa jego oszacowaną wartość odzyskiwalną, jego wartość księgowa podlega odpisowi z tytułu utraty wartości do wysokości jego wartości odzyskiwalnej. Wartość odzyskiwalną stanowi wyższa z dwóch kwot: wartości godziwej aktywów pomniejszonej o koszty sprzedaży lub wartości użytkowej.</t>
  </si>
  <si>
    <t>Niefinansowe aktywa, w odniesieniu do których uprzednio stwierdzono utratę wartości, oceniane są na każdy dzień kończący okres sprawozdawczy pod kątem występowania przesłanek wskazujących na możliwość odwrócenia dokonanego odpisu.</t>
  </si>
  <si>
    <t>Oszacowanie wartości odzyskiwalnej ośrodków wypracowujących przepływy pieniężne opiera się na szeregu założeń, o czym mowa w dalszej części Noty.</t>
  </si>
  <si>
    <t>ODPISY Z TYTUŁU UTRATY WARTOŚCI</t>
  </si>
  <si>
    <t>Zmiany stanu odpisów aktualizujących aktywa trwałe przedstawia poniższa tabela:</t>
  </si>
  <si>
    <t>Analiza wrażliwości</t>
  </si>
  <si>
    <t>Na dzień 31 grudnia 2023 roku nie dokonano aktualizacji wcześniej zawiązanych odpisów aktualizujących majątek KWK Budryk, KWK Knurów-Szczygłowice, KWK Borynia-Zofiówka-Bzie Ruch Zofiówka oraz KWK Borynia-Zofiówka-Bzie Ruch Borynia.</t>
  </si>
  <si>
    <t>POZOSTAŁE DŁUGOTERMINOWE AKTYWA FINANSOWE</t>
  </si>
  <si>
    <t>Środki pieniężne i ich ekwiwalenty Funduszu Likwidacji Zakładów Górniczych</t>
  </si>
  <si>
    <t>wartość brutto</t>
  </si>
  <si>
    <t>Pozostałe należności niefinansowe</t>
  </si>
  <si>
    <t>Zapasy wykazywane są w cenie nabycia lub koszcie wytworzenia, nie wyższym jednak od ich cen sprzedaży netto. Cena sprzedaży netto to oszacowana cena sprzedaży w normalnym toku działalności, pomniejszona o odnośne zmienne koszty sprzedaży. Koszt wytworzenia zapasu wyrobów gotowych i produkcji w toku obejmuje robociznę bezpośrednią, materiały pomocnicze, inne koszty bezpośrednie i odnośne ogólne koszty produkcji (oparte na normalnych zdolnościach produkcyjnych).</t>
  </si>
  <si>
    <t>Odpis aktualizujący wartość zapasów</t>
  </si>
  <si>
    <t>Odpisy aktualizujące wartość zapasów wyrobów gotowych, zarówno utworzenie jak i odwrócenie odpisu, ujmuje się jako koszt okresu, w którym odpis miał miejsce. Odpisów aktualizujących wartość zapasów materiałów dokonuje się nie rzadziej niż na koniec każdego kwartału i ujmuje się jako koszt okresu.</t>
  </si>
  <si>
    <t>ODPISY AKTUALIZUJĄCE ZAPASY</t>
  </si>
  <si>
    <t>Odpisy aktualizujące wartość zapasów przedstawia poniższa tabela:</t>
  </si>
  <si>
    <t>NALEŻNOŚCI HANDLOWE ORAZ POZOSTAŁE NALEŻNOŚCI</t>
  </si>
  <si>
    <t>Odpis aktualizujący wartość należności</t>
  </si>
  <si>
    <t>Należności handlowe brutto</t>
  </si>
  <si>
    <t>Odpis aktualizujący</t>
  </si>
  <si>
    <t>Należności handlowe netto</t>
  </si>
  <si>
    <t>Czynne rozliczenia międzyokresowe</t>
  </si>
  <si>
    <t>Przedpłaty</t>
  </si>
  <si>
    <t>Pozostałe należności</t>
  </si>
  <si>
    <t>Wartość godziwa należności handlowych oraz pozostałych należności nie różni się istotnie od ich wartości księgowej.</t>
  </si>
  <si>
    <t>ODPISY AKTUALIZUJĄCE NALEŻNOŚCI HANDLOWE</t>
  </si>
  <si>
    <t>Zmiany stanu odpisu aktualizującego należności handlowe przedstawia poniższa tabela:</t>
  </si>
  <si>
    <t>Odpis na należności handlowe, dla których nie stwierdzono utraty wartości</t>
  </si>
  <si>
    <t>Odpis na należności handlowe ze stwierdzoną utratą wartości</t>
  </si>
  <si>
    <t>Zmiany wartości brutto nie wpłynęły w istotny sposób na wartość odpisów.</t>
  </si>
  <si>
    <t>ANALIZA WIEKOWANIA NALEŻNOŚCI HANDLOWYCH ORAZ ODPISÓW Z TYTUŁU UTRATY WARTOŚCI</t>
  </si>
  <si>
    <t>* Pozycja ta dotyczy należności handlowych objętych w większości postępowaniami upadłościowymi oraz należności handlowych po wyrokach sądowych. Należności te są w całości objęte odpisem aktualizującym.</t>
  </si>
  <si>
    <t>Należności handlowe węglowo-koksowe</t>
  </si>
  <si>
    <t>Należności handlowe pozostałe</t>
  </si>
  <si>
    <t>Należności handlowe ze stwierdzoną utratą wartości</t>
  </si>
  <si>
    <t>Wskaźnik niewypełnienia zobowiązań (â€žPDâ€ť) dla należności handlowych:</t>
  </si>
  <si>
    <t>ŚRODKI PIENIĘŻNE I ICH EKWIWALENTY</t>
  </si>
  <si>
    <t>Odpis aktualizujący wartość środków pieniężnych i ich ekwiwalentów</t>
  </si>
  <si>
    <t>Dla środków pieniężnych i ich ekwiwalentów w związku z niskim ryzykiem kredytowym przyjmuje się 3 miesięczny horyzont ekspozycji na ryzyko kredytowe.</t>
  </si>
  <si>
    <t>Środki pieniężne w banku i w kasie</t>
  </si>
  <si>
    <t>w tym: o ograniczonej możliwości dysponowania</t>
  </si>
  <si>
    <t>KAPITAŁ PODSTAWOWY</t>
  </si>
  <si>
    <t>Kapitał ten tworzony jest w wysokości nadwyżki ceny emisyjnej akcji powyżej ich wartości nominalnej pomniejszonej o koszty tej emisji.</t>
  </si>
  <si>
    <t>KAPITAŁ Z TYTUŁU WYCENY INSTRUMENTÓW FINANSOWYCH</t>
  </si>
  <si>
    <t>Zyski zatrzymane obejmują kapitał zapasowy tworzony i wykorzystywany zgodnie z ustawą Kodeks Spółek Handlowych, kapitał rezerwowy z przeznaczeniem na sfinansowanie programu inwestycyjnego, zysk/(stratę) netto bieżącego okresu sprawozdawczego, niepodzielone wyniki lat ubiegłych, zyski/(straty) aktuarialne dotyczące świadczeń po okresie zatrudnienia, pozostałe kapitały tworzone i wykorzystywane według zasad określonych przepisami prawa.</t>
  </si>
  <si>
    <t>Akcje zwykłe wartość nominalna</t>
  </si>
  <si>
    <t>Akcje wszystkich powyższych serii mają takie same prawa.</t>
  </si>
  <si>
    <t>Ilość akcji</t>
  </si>
  <si>
    <t>Procentowy udział w kapitale zakładowym</t>
  </si>
  <si>
    <t>Procentowy udział w ogólnej liczbie głosów na Walnym Zgromadzeniu</t>
  </si>
  <si>
    <t>Skarb Państwa</t>
  </si>
  <si>
    <t>ZOBOWIĄZANIA Z TYTUŁU ŚWIADCZEŁ PRACOWNICZYCH</t>
  </si>
  <si>
    <t>Kalkulację rezerw na niewykorzystane urlopy wypoczynkowe wylicza się na koniec każdego kwartału danego roku obrotowego. Rezerwa wyliczana jest w następujący sposób: liczba dni niewykorzystanego urlopu na koniec poprzedniego roku obrotowego i lat poprzednich, powiększona o liczbę dni urlopu przysługującego pracownikom proporcjonalnie do przepracowanego okresu przypadającego na dany dzień kończący okres sprawozdawczy, pomniejszona o liczbę dni urlopu wykorzystanego w okresie od 1 stycznia do dnia kończącego dany okres sprawozdawczy, pomnożona przez wartość dniówki urlopowej wraz z obowiązującymi narzutami.</t>
  </si>
  <si>
    <t>Zobowiązanie bilansowe z tytułu przyszłych świadczeń pracowniczych równe jest wartości bieżącej zobowiązania z tytułu określonych świadczeń. Wartość bieżąca zobowiązań z tytułu świadczeń pracowniczych zależy od szeregu czynników określanych metodami aktuarialnymi przy wykorzystaniu pewnych założeń. Wszelkie zmiany tych założeń wpływają na wartość księgową zobowiązań z tytułu świadczeń pracowniczych.</t>
  </si>
  <si>
    <t>Jednym z podstawowych założeń dla ustalenia wysokości zobowiązania jest stopa dyskontowa. Na dzień kończący okres sprawozdawczy w oparciu o opinię niezależnego aktuariusza przyjmuje się odpowiednią stopę dyskonta, która odpowiada stopie procentowej obligacji skarbowych wyrażonych w walucie przyszłej wypłaty świadczeń, o terminach zapadalności zbliżonych do terminów regulowania odnośnych zobowiązań. Założenia dotyczące przyszłej umieralności oraz prawdopodobieństwo przejścia pracownika na rentę inwalidzką oszacowane zostało na podstawie danych statystycznych z polskich tabel trwania życia dla mężczyzn i dla kobiet, publikowanych przez GUS, na dzień dokonywania wyceny.</t>
  </si>
  <si>
    <t>Zmiana stanu zobowiązań z tytułu świadczeń pracowniczych:</t>
  </si>
  <si>
    <t>Świadczenia po okresie zatrudnienia</t>
  </si>
  <si>
    <t>* W skutkach zmian założeń finansowych zaprezentowano zmiany dyskonta oraz prognozowanych wzrostów podstaw świadczeń. W skutkach zmian założeń demograficznych zaprezentowano zmiany przyjętego poziomu rotacji pracowniczej, umieralności oraz przechodzenia na rentę. Natomiast w pozostałych zmianach zaprezentowano nie tylko zmiany innych założeń, ale także wszelkie aktualizacje danych do wyceny.</t>
  </si>
  <si>
    <t>GŁÓWNE ZAŁOŻENIA AKTUARIALNE</t>
  </si>
  <si>
    <t>ANALIZA WRAŻLIWOŚCI</t>
  </si>
  <si>
    <t>OKRES ZAPADALNOŚCI ZOBOWIĄZAŁ Z TYTUŁU ŚWIADCZEŁ PRACOWNICZYCH</t>
  </si>
  <si>
    <t>Rezerwę na przyszłe koszty związane z likwidacją zakładu górniczego tworzy się m.in. w oparciu o obowiązki wynikające z ustawy Prawo geologiczne i górnicze nakładające na przedsiębiorstwo górnicze obowiązek likwidacji zakładów górniczych po zakończeniu eksploatacji, w wysokości przewidywanych kosztów związanych z:</t>
  </si>
  <si>
    <t>Kwoty rezerw wykazuje się w bieżącej wartości nakładów, które â€“ jak się oczekuje â€“ będą niezbędne do wypełnienia obowiązku. Stosuje się wówczas stopę procentową przed opodatkowaniem, która odzwierciedla bieżącą ocenę rynku odnośnie do wartości pieniądza w czasie oraz ryzyko związane konkretnie z danym składnikiem zobowiązań. Początkowy szacunek rezerwy na likwidację zakładu górniczego powiększa wartość rzeczowych aktywów trwałych. Zwiększenie rezerw związane z upływem czasu jest rozpoznawane jako koszty odsetkowe i ujmowane w kosztach finansowych. Zmiany wysokości rezerw związane z aktualizacją szacunków ich dotyczących (stopa dyskonta, stopa inflacji, żywotność kopalń, spodziewana nominalna wartość nakładów na likwidację) ujmowane są jako korekta wartości aktywów trwałych objętych obowiązkiem likwidacji.</t>
  </si>
  <si>
    <t>Stan rezerw weryfikuje się na każdy dzień kończący okres sprawozdawczy i aktualizuje się w celu odzwierciedlenia bieżącego, najbardziej właściwego szacunku. Szacunki i założenia przyjęte do ustalenia rezerw zostały ujawnione w dalszej części Noty.</t>
  </si>
  <si>
    <t>Rozwiązanie niewykorzystanej rezerwy</t>
  </si>
  <si>
    <t>LIKWIDACJA ZAKŁADU GÓRNICZEGO</t>
  </si>
  <si>
    <t>Rezerwa na przyszłe koszty związane z likwidacją zakładów górniczych i innych obiektów technologicznych tworzona jest na bazie szacunku przewidywanych kosztów likwidacji obiektów i przywrócenia do stanu pierwotnego terenu po zakończeniu ich eksploatacji. Kwotę rezerwy wykazuje się w bieżącej wartości nakładów, które â€“ jak się oczekuje â€“ będą niezbędne do wypełnienia obowiązku. Zakres likwidacji zakładu górniczego w całości lub w części został określony w Ustawie z dnia 9 czerwca 2011 Prawo geologiczne i górnicze i obejmuje zabezpieczenie lub likwidację wyrobisk górniczych oraz urządzeń, instalacji i obiektów zakładu górniczego, ochronę sąsiednich złóż kopalin, ochronę wyrobisk sąsiednich zakładów górniczych, a także ochronę środowiska i rekultywację gruntów po działalności górniczej.</t>
  </si>
  <si>
    <t>Oszacowanie rezerwy na koszty likwidacji zakładu górniczego</t>
  </si>
  <si>
    <t>Główne założenia wykorzystywane przy ustalaniu kosztów z tytułu likwidacji zakładu górniczego zawierają założenia odnośnie okresu żywotności kopalni, przewidywanej inflacji, długoterminowych stóp dyskontowych oraz przewidywanych nominalnych kosztów likwidacji poszczególnych zakładów górniczych, które są określane przez służby wewnętrzne na podstawie publikowanych stawek Sekocenbud. Wszelkie zmiany tych założeń wpływają na wartość księgową rezerwy.</t>
  </si>
  <si>
    <t>W oparciu o posiadane koncesje na wydobywanie węgla kamiennego i metanu jako kopaliny towarzyszącej, wielkość udokumentowanej bazy zasobowej kopalń zgodnie z operatem ewidencyjnym zasobów oraz prognozy w zakresie kształtowania się zdolności wydobywczych kopalń, przewiduje się następujące okresy prowadzenia działalności produkcyjnej przez poszczególne zakłady górnicze wchodzące w skład struktury organizacyjnej JSW:</t>
  </si>
  <si>
    <t>Zakład Górniczy KWK Knurów-Szczygłowice</t>
  </si>
  <si>
    <t>SZKODY GÓRNICZE</t>
  </si>
  <si>
    <t>Momentem ujęcia (utworzenia) rezerwy jest stwierdzenie związku przyczynowo â€“ skutkowego pomiędzy prowadzoną przez przedsiębiorcę górniczego eksploatacją górniczą, a powstałą w danym obiekcie budowlanym lub nieruchomości szkodą. Rezerwa ta prezentowana jest w wartości bieżącej nakładów niezbędnych do wypełnienia zobowiązania, oszacowana zgodnie z wiedzą służb technicznych kopalni.</t>
  </si>
  <si>
    <t>OCHRONA ŚRODOWISKA</t>
  </si>
  <si>
    <t>POZOSTAŁE REZERWY</t>
  </si>
  <si>
    <t>Pozostałe rezerwy obejmują głównie:</t>
  </si>
  <si>
    <t>ZOBOWIĄZANIA HANDLOWE ORAZ POZOSTAŁE ZOBOWIĄZANIA</t>
  </si>
  <si>
    <t>Zobowiązania krótkoterminowe obejmują zobowiązania handlowe oraz pozostałe zobowiązania, które stają się wymagalne w ciągu 12 miesięcy od dnia kończącego okres sprawozdawczy. Zobowiązania w początkowym ujęciu wykazuje się w wartości godziwej, przy czym wycena ta ze względu na krótkoterminowy charakter zobowiązań odpowiada wartości nominalnej zobowiązania, zaś w okresie późniejszym zobowiązania finansowe wykazuje się według zamortyzowanego kosztu, stosując metodę efektywnej stopy procentowej (w przypadku zobowiązań handlowych odpowiada to kwocie wymagającej zapłaty), zobowiązania niefinansowe wykazywane są w kwocie wymagającej zapłaty.</t>
  </si>
  <si>
    <t>Zobowiązania długoterminowe w początkowym ujęciu wykazuje się w wartości godziwej, pomniejszonej o poniesione koszty transakcyjne, zaś w okresie późniejszym wykazuje się je według zamortyzowanego kosztu, stosując metodę efektywnej stopy procentowej. Zwiększenie zobowiązania w związku z upływem czasu jest ujmowane jako koszty finansowe.</t>
  </si>
  <si>
    <t>Pozostałe dotacje ujmowane są systematycznie w przychodach, w okresie niezbędnym do skompensowania kosztów, które te dotacje miały w zamierzeniu kompensować.</t>
  </si>
  <si>
    <t>Oszacowanie odsetek od zobowiązań</t>
  </si>
  <si>
    <t>ZOBOWIĄZANIA FINANSOWE</t>
  </si>
  <si>
    <t>ZOBOWIĄZANIA NIEFINANSOWE</t>
  </si>
  <si>
    <t>SPRAWOZDANIE Z PRZEPŁYWÓW PIENIĘŻNYCH</t>
  </si>
  <si>
    <t>Zapłacone odsetki z tytułu leasingu oraz kredytów i pożyczek wykazuje się w przepływach z działalności finansowej oraz w przepływach z działalności inwestycyjnej, jeżeli podlegają aktywowaniu jako koszty finansowania zewnętrznego.</t>
  </si>
  <si>
    <t>Opłaty z tytułu leasingu krótkoterminowego i leasingu dotyczącego aktywów o niskiej wartości, które są wyłączone z zakresu MSSF 16, prezentowane są w przepływach z działalności operacyjnej.</t>
  </si>
  <si>
    <t>Odsetki i udziały w zyskach</t>
  </si>
  <si>
    <t>Zmiana stanu zobowiązań z tytułu świadczeń pracowniczych</t>
  </si>
  <si>
    <t>Zmiana stanu zapasów</t>
  </si>
  <si>
    <t>Zmiana stanu należności handlowych oraz pozostałych należności</t>
  </si>
  <si>
    <t>Zmiana stanu zobowiązań handlowych oraz pozostałych zobowiązań</t>
  </si>
  <si>
    <t>Zmiana stanu pochodnych instrumentów finansowych</t>
  </si>
  <si>
    <t>Pozostałe przepływy</t>
  </si>
  <si>
    <t>Zyski/(straty) aktuarialne ujęte w innych całkowitych dochodach</t>
  </si>
  <si>
    <t>Zapłacone prowizje od kredytów i pożyczek rozliczane w czasie</t>
  </si>
  <si>
    <t>Klasyfikację instrumentów finansowych określa Zarząd JSW. Klasyfikacja aktywów finansowych uzależniona jest od modelu biznesowego zarządzania aktywami finansowymi oraz charakterystyki umownych przepływów pieniężnych (test SPPI) składnika aktywów finansowych. Klasyfikacja aktywów finansowych dokonywana jest w momencie początkowego ujęcia i może być zmieniona jedynie wówczas, gdy zmieni się biznesowy model zarządzania aktywami finansowymi.</t>
  </si>
  <si>
    <t>Klasyfikacja aktywów i zobowiązań finansowych do poszczególnych kategorii:</t>
  </si>
  <si>
    <t>Wartość godziwa instrumentów finansowych</t>
  </si>
  <si>
    <t>Klasy instrumentów finansowych</t>
  </si>
  <si>
    <t>Kategorie instrumentów finansowych</t>
  </si>
  <si>
    <t>Żaden z istotnych nieprzeterminowanych składników aktywów finansowych nie był renegocjowany w ciągu ostatniego roku.</t>
  </si>
  <si>
    <t>Należności handlowe</t>
  </si>
  <si>
    <t>odpisy aktualizujące</t>
  </si>
  <si>
    <t>Środki pieniężne i ich ekwiwalenty *</t>
  </si>
  <si>
    <t>Zobowiązania handlowe oraz pozostałe zobowiązania o charakterze finansowym</t>
  </si>
  <si>
    <t>HIERARCHIA WARTOŚCI GODZIWEJ</t>
  </si>
  <si>
    <t>Wartość godziwa transakcji typu forward walutowy ustalana jest poprzez zdyskontowanie przyszłych przepływów pieniężnych, których wielkość na dzień wyceny stanowi różnica pomiędzy terminowym kursem walutowym a kursem transakcyjnym przemnożona przez nominał kontraktu forward w walucie obcej (walucie bazowej). Dane wejściowe do wyceny obejmują:</t>
  </si>
  <si>
    <t>Wartość godziwa transakcji typu swap towarowy ustalana jest poprzez zdyskontowanie przyszłych przepływów pieniężnych, których wielkość na dzień wyceny stanowi różnica pomiędzy ceną terminową implikowaną z krzywej terminowej a ceną wykonania kontraktu (która przyjmuje znak ujemny lub dodatni w zależności od strony zawartej transakcji), przemnożona przez nominał. Dane wejściowe do wyceny obejmują:</t>
  </si>
  <si>
    <t>Wartość godziwa otrzymanych kredytów i pożyczek szacowana jest przy zastosowaniu metody zdyskontowanych przepływów pieniężnych. Stopy dyskontowe ustalane są na podstawie rynkowych stóp procentowych powiększonych o marże właściwe dla poszczególnych instrumentów finansowych.</t>
  </si>
  <si>
    <t>Wartość godziwa instrumentów finansowych:</t>
  </si>
  <si>
    <t>RACHUNKOWOŚĘ† ZABEZPIECZEŁ</t>
  </si>
  <si>
    <t>Zyski lub straty wynikające ze zmiany wartości godziwej instrumentu zabezpieczającego przepływy pieniężne ujmowane są w innych całkowitych dochodach w części stanowiącej efektywne zabezpieczenie, natomiast nieefektywna część zabezpieczenia odnoszona jest do wyniku finansowego bieżącego okresu. Część efektywna ujęta w innych całkowitych dochodach jest odnoszona na wynik finansowy w takich samych okresach, w jakich pozycja zabezpieczana wpływa na wynik finansowy.</t>
  </si>
  <si>
    <t>Kwota nieskuteczności powiązania zabezpieczającego jest kalkulowana, jeżeli zmiany wartości (w wartości bezwzględnej) instrumentu zabezpieczającego w okresie pomiaru przekroczą zmiany wartości godziwej (w wartości bezwzględnej) pozycji zabezpieczanej. Kwota nieskuteczności zostaje odniesiona do rachunku wyników okresu, do którego odnosi się pomiar skuteczności.</t>
  </si>
  <si>
    <t>Łąródłami nieskuteczności dla ryzyka walutowego i ryzyka zmian cen węgla może być w szczególności różnica pomiędzy terminem zapadalności instrumentu zabezpieczającego przypadającego na ostatni dzień roboczy miesiąca, a terminami zapadalności pozycji zabezpieczanej, która realizuje się w kolejnych dniach miesiąca.</t>
  </si>
  <si>
    <t>Instrumenty pochodne zabezpieczające</t>
  </si>
  <si>
    <t>Instrumenty pochodne wyceniane w wartości godziwej przez wynik finansowy</t>
  </si>
  <si>
    <t>Zobowiązania finansowe po przeliczeniu na PLN:</t>
  </si>
  <si>
    <t>Instrumenty pochodne zabezpieczające Instrumenty pochodne wyceniane w wartości godziwej przez wynik finansowy Razem</t>
  </si>
  <si>
    <t>Wartości nominalne kontraktów wyrażone w mln EUR i USD przedstawia poniższa tabela:</t>
  </si>
  <si>
    <t>sprzedaż</t>
  </si>
  <si>
    <t>Wartości nominalne kontraktów towarowych zabezpieczających ryzyko cenowe wyrażone w tys. ton przedstawia poniższa tabela:</t>
  </si>
  <si>
    <t>Skutki rachunkowości zabezpieczeń dla sytuacji finansowej i wyników przedstawiają poniższe tabele:</t>
  </si>
  <si>
    <t>Wartość bilansowa</t>
  </si>
  <si>
    <t>Wartość nominalna</t>
  </si>
  <si>
    <t>Zyski/(straty) z tytułu zabezpie-czenia dla okresu sprawozda-wczego, które zostały ujęte w innych całkowitych dochodach</t>
  </si>
  <si>
    <t>w sprawozda-niu z wyniku finansowego i innych całkowitych dochodów, która zawiera korektę z tytułu przeklasyfiko-wania</t>
  </si>
  <si>
    <t>Kontrakt forward na sprzedaż waluty (EUR/PLN)</t>
  </si>
  <si>
    <t>Kontrakt forward na sprzedaż waluty (USD/PLN)</t>
  </si>
  <si>
    <t>Wpływ zabezpieczenia przepływów pieniężnych przedstawia poniższa tabela:</t>
  </si>
  <si>
    <t>Zmiana wartości godziwej pozycji zabezpieczanej stosowanej jako podstawa ujęcia nieefektywności zabezpieczenia w danym okresie</t>
  </si>
  <si>
    <t>Saldo kapitału z tytułu zabezpieczenia przepływów pieniężnych dla kontynuowanych zabezpieczeń</t>
  </si>
  <si>
    <t>Saldo pozostające w kapitale z tytułu zabezpieczenia przepływów pieniężnych z tytułu wszelkich powiązań zabezpieczających, dla których nie stosuje się już rachunkowości zabezpieczeń</t>
  </si>
  <si>
    <t>Saldo pozostające w kapitale z tytułu zabezpieczenia przepływów pieniężnych z tytułu wszelkich powiązań zabezpieczających, dla których nie stosuje się już rachunkowości zabezpieczeń ZABEZPIECZENIA PRZEPŁYWÓW PIENIĘŻNYCH</t>
  </si>
  <si>
    <t>Zmiana stanu kapitału z tytułu wyceny instrumentów finansowych:</t>
  </si>
  <si>
    <t>Podstawowymi celami zarządzania ryzykiem finansowym są: zwiększenie prawdopodobieństwa realizacji celów budżetowych i strategicznych, maksymalizacja dodatnich przepływów pieniężnych i ograniczenie ich zmienności, utrzymanie krótkoterminowej i długoterminowej płynności finansowej, wspieranie procesów operacyjnych, inwestycyjnych i finansowych oraz budowanie wartości firmy w długim okresie czasu.</t>
  </si>
  <si>
    <t>Kontrakty handlowe związane ze sprzedażą węgla koksowego, którego cena pozostaje powiązana z kwotowaniami tego surowca na rynku globalnym (JSW opiera ceny na notowaniach węgli australijskich, będących wyznacznikiem cen światowych) oraz sprzedażą koksu (którego ceny wynikają z bieżących uwarunkowań rynkowych).</t>
  </si>
  <si>
    <t>Analiza wrażliwości/ scenariuszowa</t>
  </si>
  <si>
    <t>Zgodnie z Polityką i procedurą zarządzania ryzykiem cen węgla koksowego JSW S.A. Ryzyko zmian kursów walut</t>
  </si>
  <si>
    <t>Ujęte aktywa finansowe i zobowiązania wyrażone w walutach innych niż PLN.</t>
  </si>
  <si>
    <t>Dywersyfikacja odbiorców, wymaganie zabezpieczenia, stosowanie przedpłat lub ubezpieczanie należności, monitoring kontrahentów.</t>
  </si>
  <si>
    <t>Monitoring płynności JSW</t>
  </si>
  <si>
    <t>Dzienne monitorowanie dostępnych środków pieniężnych w perspektywie miesięcznej.</t>
  </si>
  <si>
    <t>Dywersyfikacja źródeł finansowania i wykorzystywania dostępnych narzędzi, m.in.:</t>
  </si>
  <si>
    <t>Ograniczoność globalnego rynku powoduje, że priorytetem dla producentów koksu indonezyjskiego jest zdobycie odbiorców za wszelką cenę, czemu służy oferowanie koksu w cenach dumpingowych. Wpływa to na utrzymywanie się niskich relacji cen koksu wielkopiecowego do cen węgla koksowego hard. Dotychczas koks indonezyjski trafiał głównie na rynek azjatycki i atlantycki, na rynku europejskim w pierwszym półroczu 2024 roku lokowane były niewielkie wolumeny. W drugim półroczu 2024 roku wysyłki miały już charakter bardziej regularny, a w 2025 roku istnieje ryzyko znaczącego wzrostu wolumenów po wprowadzeniu przez Indie znaczących ograniczeń dla importu koksu z Indonezji.</t>
  </si>
  <si>
    <t>Natomiast średnia cena koksu sprzedanego w okresie 2024 roku wynosiła 1 302,80 PLN/t i spadła o 13,2% w stosunku do tego samego okresu roku ubiegłego. Dla koksu nie funkcjonuje rynek zabezpieczeń jak dla węgla koksowego, uzgodnienia cen są dokonywane w oparciu o bieżące warunki rynkowe, w części kontraktów wprowadzone są formuły cenowe bazujące m.in. na notowaniach węgli koksowych, co stanowi rodzaj zabezpieczenia mając na uwadze, iż węgiel jest głównym kosztem produkcji koksu.</t>
  </si>
  <si>
    <t>Rachunkowość zabezpieczeń</t>
  </si>
  <si>
    <t>Ryzyko cenowe - pozostałe</t>
  </si>
  <si>
    <t>W przypadku obniżenia ratingu dla Polski, powodującego wzrost stóp procentowych o 100pb, wartość godziwa certyfikatów inwestycyjnych FIZ przedstawia się następująco:</t>
  </si>
  <si>
    <t>Wybrane pozycje denominowane w walutach obcych po przeliczeniu na PLN przedstawiają się następująco:</t>
  </si>
  <si>
    <t>Pochodne instrumenty zabezpieczające (aktywa) 4,5 5,5</t>
  </si>
  <si>
    <t>Kredyty i pożyczki (264,7) (140,6)</t>
  </si>
  <si>
    <t>Pochodne instrumenty finansowe wyceniane przez wynik finansowy (zobowiązania) (0,2) (10,0)</t>
  </si>
  <si>
    <t>Pochodne instrumenty zabezpieczające (zobowiązania) - (8,9)</t>
  </si>
  <si>
    <t>Analiza wrażliwości na zmiany kursów walutowych*:</t>
  </si>
  <si>
    <t>inne całkowite dochody wynik netto inne całkowite dochody</t>
  </si>
  <si>
    <t>inne całkowite dochody</t>
  </si>
  <si>
    <t>* Przy spadku kursów walutowych (odchylenie o -%) analiza wrażliwości przyjmuje identyczne wartości jak w powyższej tabeli, lecz ze znakiem przeciwnym.</t>
  </si>
  <si>
    <t>W wyniku stosowania rachunkowości zabezpieczeń w 2024 roku część skuteczna zmiany wartości godziwej transakcji zabezpieczających w kwocie (5,4) mln PLN została odniesiona w inne całkowite dochody.</t>
  </si>
  <si>
    <t>W wyniku stosowania rachunkowości zabezpieczeń w 2023 roku część skuteczna zmiany wartości godziwej transakcji zabezpieczających w kwocie 50,1 mln PLN została odniesiona w inne całkowite dochody.</t>
  </si>
  <si>
    <t>Transakcje walutowe oraz swapy towarowe otwarte na dzień 31 grudnia 2024 roku przedstawiają się następująco:</t>
  </si>
  <si>
    <t>Razem TRANSAKCJE WYCENIANE W WARTOŚCI GODZIWEJ PRZEZ WYNIK FINANSOWY Fx Forward (0,8) (1,5) (2,3) (3,6) (8,2) TRANSAKCJE ZABEZPIECZAJĄCE Fx Forward (0,2) 0,8 (1,4) (3,6) (4,4) Swap towarowy 0,7 3,3 1,5 - 5,5 RAZEM (0,3) 2,6 (2,2) (7,2) (7,1)</t>
  </si>
  <si>
    <t>TRANSAKCJE WYCENIANE W WARTOŚCI GODZIWEJ PRZEZ WYNIK FINANSOWY</t>
  </si>
  <si>
    <t>TRANSAKCJE ZABEZPIECZAJĄCE</t>
  </si>
  <si>
    <t>Przedstawione w poniższej tabeli zadłużenie na dzień 31 grudnia 2024 roku oprocentowane jest stawką WIBOR/WIBID za wyjątkiem kwoty 139,9 mln PLN, która oprocentowana jest według SOFR oraz kwoty 263,4 mln PLN, która oprocentowana jest według EURIBOR (na dzień 31 grudnia 2023 roku według stawki SOFR oprocentowane było zadłużenie w wysokości 156,5 mln PLN). Rynkowe stopy WIBOR/WIBID oraz EURIBOR zostaną zastąpione nową stopą referencyjną. Aktualnie trwają prace nad dalszą reformą wskaźnika WIBOR, w tym analizy wskaźników alternatywnych dla WIBOR-u, biorąc pod uwagę zarówno WIRON, jak i inne możliwe wskaźniki. Planowana jest również dalsza reforma wskaźnika EURIBOR, biorąc pod uwagę wskaźnik â‚¬STR, który w przyszłości mógłby zastąpić EURIBOR. W związku z powyższym możliwe są zmiany w mapie drogowej przechodzenia na nowy wskaźnik.</t>
  </si>
  <si>
    <t>Długoterminowe aktywa finansowe:</t>
  </si>
  <si>
    <t>Krótkoterminowe aktywa finansowe:</t>
  </si>
  <si>
    <t>Długoterminowe zobowiązania finansowe:</t>
  </si>
  <si>
    <t>Krótkoterminowe zobowiązania finansowe:</t>
  </si>
  <si>
    <t>W poniższych tabelach zaprezentowano analizę wrażliwości na zmiany stóp procentowych. Analiza obejmuje wyłącznie pozycje instrumentów finansowych narażonych na ryzyko zmiany stopy procentowej według stanu na dzień kończący okres sprawozdawczy. Przyjęty w 2024 roku poziom wahań stóp procentowych odzwierciedla hipotetyczną zmianę poziomu stopy referencyjnej w PLN.</t>
  </si>
  <si>
    <t>Wpływ wzrostu stopy procentowej:</t>
  </si>
  <si>
    <t>Zmienność w punktach bazowych +100pb +200pb</t>
  </si>
  <si>
    <t>Przy odchyleniu stóp procentowych o -100, -200 punktów bazowych analiza wrażliwości przyjmuje identyczne wartości jak w powyższej tabeli tylko ze znakiem przeciwnym.</t>
  </si>
  <si>
    <t>Ryzyko kredytowe związane z należnościami handlowymi</t>
  </si>
  <si>
    <t>Ryzyko kredytowe związane ze środkami pieniężnymi i lokatami bankowymi</t>
  </si>
  <si>
    <t>Koncentracja środków finansowych w bankach*:</t>
  </si>
  <si>
    <t>Ryzyko kredytowe związane z pochodnymi instrumentami finansowymi</t>
  </si>
  <si>
    <t>Zarządzanie ryzykiem płynności</t>
  </si>
  <si>
    <t>Zarządzanie ryzykiem</t>
  </si>
  <si>
    <t>ZOBOWIĄZANIA WARUNKOWE</t>
  </si>
  <si>
    <t>INFORMACJE O ISTOTNYCH POSTĘPOWANIACH SĄDOWYCH, ADMINISTRACYJNYCH I ARBITRAŻOWYCH</t>
  </si>
  <si>
    <t>INFORMACJE O TRANSAKCJACH ZE SPÓŁKAMI POWIĄZANYMI</t>
  </si>
  <si>
    <t>Indywidualnie znaczące transakcje</t>
  </si>
  <si>
    <t>Pozostałe transakcje</t>
  </si>
  <si>
    <t>* z uwzględnieniem podatku VAT</t>
  </si>
  <si>
    <t>INFORMACJE O TRANSAKCJACH Z CZŁONKAMI ZARZĄDU JSW</t>
  </si>
  <si>
    <t>Krótkoterminowe świadczenia pracownicze:</t>
  </si>
  <si>
    <t>* W pozycji ujęto koszty wynagrodzeń z tytułu usług zarządzania wypłaconych na podstawie umów o świadczenie usług zarządzania.</t>
  </si>
  <si>
    <t>Szczegóły umów zawartych z osobami zarządzającymi zostały opisane w Punkcie 3.8. Sprawozdania Zarządu z działalności Jastrzębskiej Spółki Węglowej S.A. oraz Grupy Kapitałowej Jastrzębskiej Spółki Węglowej S.A. za rok obrotowy zakończony 31 grudnia 2024 roku.</t>
  </si>
  <si>
    <t>Krótkoterminowe świadczenia 926,2</t>
  </si>
  <si>
    <t>Dodatkowe informacje na temat wynagrodzenia Członków Zarządu i Rady Nadzorczej znajdują się w Sprawozdaniu Zarządu z działalności Jastrzębskiej Spółki Węglowej S.A. oraz Grupy Kapitałowej Jastrzębskiej Spółki Węglowej S.A. za rok obrotowy zakończony 31 grudnia 2024 roku (Punkt 3.8.).</t>
  </si>
  <si>
    <t>W 2024 i 2023 roku nie zostały udzielone żadne pożyczki Członkom Zarządu ani Członkom Rady Nadzorczej JSW.</t>
  </si>
  <si>
    <t>W dniu 13 listopada 2024 roku, po uzyskaniu zgody Rady Nadzorczej JSW z dnia 11 września 2024 roku, JSW zawarła z PWC umowę dotyczącą przeprowadzenia atestacji sprawozdania zrównoważonego rozwoju za rok 2024.</t>
  </si>
  <si>
    <t>Opis zmian istotnych pozycji sprawozdawczych oraz czynników wpływających na wyniki finansowe osiągnięte w okresie sprawozdawczym przedstawiono w Sprawozdaniu Zarządu z działalności Jastrzębskiej Spółki Węglowej S.A. oraz Grupy Kapitałowej Jastrzębskiej Spółki Węglowej S.A. za rok obrotowy zakończony 31 grudnia 2024 roku w Punkcie 4.</t>
  </si>
  <si>
    <t>Wojna w Ukrainie i sankcje nałożone na Rosję wpłynęły na reorganizację globalnego rynku węgla koksowego. Przed wojną w Ukrainie udział Rosji w imporcie węgla koksowego do UE wynosił około 10% dla węgla koksowego i około 30% dla węgla PCI. Po wprowadzeniu sankcji węgiel rosyjski został przekierowany na rynek azjatycki, głównie do Indii i Chin. Brakujący wolumen na rynku europejskim został uzupełniony dostawami z Australii i USA. Sankcje nałożone na Rosję nie wpłynęły znacząco na obniżenie podaży węgla koksowego na rynkach globalnych, natomiast zmieniły kierunki handlu. Obecnie udział importu węgla koksowego z Rosji w chińskim imporcie ogółem wzrósł z ok. 7% w latach 2016-2020 do ok. 25% w roku 2024.</t>
  </si>
  <si>
    <t>Z powodu działań wojennych znaczącej zmianie uległ potencjał koksowniczy na Ukrainie, ukraiński portal GMK Center szacuje, że w latach 2014â€“2024 Ukraina straciła około 64% swoich zdolności produkcyjnych koksu, a produkcja zmniejszyła się o prawie 85%. Według ukraińskiego portalu GMK Center produkcja koksu w Ukrainie w 2024 roku wyniosła 2,7 mln ton, w porównaniu do 9,5 mln ton w 2021 roku i 17,6 mln ton w 2013 roku. Import koksu do Ukrainy w 2024 roku wyniósł 0,7 mln ton.</t>
  </si>
  <si>
    <t>Skutkiem powyższego jest konieczność przejścia z samowystarczalności surowców do produkcji stali do produkcji opartej na surowcach importowanych.</t>
  </si>
  <si>
    <t>â–Ş W dniu 7 marca 2025 roku Pan Jarosław Kluczniok pełniący funkcję Zastępcy Prezesa Zarządu ds. Rozwoju JSW złożył rezygnację z pełnienia funkcji członka Zarządu JSW ze skutkiem na dzień 7 marca 2025 roku.</t>
  </si>
  <si>
    <t>Jastrzębie-Zdrój, 7 kwietnia 2025 roku</t>
  </si>
  <si>
    <t>PODPISY CZŁONKÓW ZARZĄDU JSW</t>
  </si>
  <si>
    <t>Prezes Zarządu</t>
  </si>
  <si>
    <t>Zastępca Prezesa Zarządu</t>
  </si>
  <si>
    <t>Remigiusz Krzyżanowski</t>
  </si>
  <si>
    <t>Artur Wojtków</t>
  </si>
  <si>
    <t>Tomasz Południewski</t>
  </si>
  <si>
    <t>Dyrektor Biura Główny Księgowy</t>
  </si>
  <si>
    <t>15,1</t>
  </si>
  <si>
    <t>18,8</t>
  </si>
  <si>
    <t>Inne krótkoterminowe aktywa finansowe</t>
  </si>
  <si>
    <t>497,5</t>
  </si>
  <si>
    <t>Zobowiązania z tytułu bieżącego podatku dochodowego</t>
  </si>
  <si>
    <t>w tym: odsetki i prowizje zapłacone stanowiące aktywowane koszty finansowania zewnętrznego</t>
  </si>
  <si>
    <t>â–Ş kontynuuje budowę bloku energetycznego w JSW KOKS, wykorzystującego gaz koksowniczy do produkcji energii elektrycznej i ciepła;</t>
  </si>
  <si>
    <t>â–Ş na bieżąco monitoruje zmiany w obszarze regulacji prawnych związanych z ochroną klimatu i środowiska, zarówno na poziomie prawa europejskiego, jak i krajowego oraz zmiany w otoczeniu gospodarczym, makroekonomicznym czy rynkowym.</t>
  </si>
  <si>
    <t>56,6</t>
  </si>
  <si>
    <t>â–Ş FCA â€“ FREE CARRIER (dostarczony do przewoźnika): sprzedawca obowiązany jest dostarczyć towar przewoźnikowi lub innej osobie wyznaczonej przez kupującego na swoim terenie bądź w innym wyznaczonym miejscu. Ryzyko przenoszone jest na nabywcę w momencie załadowania towaru na podstawiony przez niego środek transportowy.</t>
  </si>
  <si>
    <t>â–Ş DAP â€“ DELIVERED AT PLACE (dostarczony do miejsca): sprzedawca obowiązany jest dostarczyć towar i pozostawić go do dyspozycji kupującego na środku transportu, w oznaczonym miejscu przeznaczenia. Ryzyko przenoszone jest na nabywcę w momencie dostarczenia towaru do miejsca przeznaczenia.</t>
  </si>
  <si>
    <t>â–Ş FOB â€“ FREE ON BOARD (dostarczony na statek): sprzedawca obowiązany jest dostarczyć towar na pokład statku wyznaczonego przez kupującego, w wymienionym z nazwy porcie. Ryzyko przenoszone jest na nabywcę w momencie umieszczenia towaru na pokładzie statku.</t>
  </si>
  <si>
    <t>222,5</t>
  </si>
  <si>
    <t>(35,8)</t>
  </si>
  <si>
    <t>93,6</t>
  </si>
  <si>
    <t>â–Ş koszt wytworzenia sprzedanych produktów poniesiony w danym okresie sprawozdawczym, skorygowany o zmianę stanu produktów oraz skorygowany o wartość świadczeń i rzeczowych aktywów trwałych wytworzonych na potrzeby własne (w tym wyrobisk ruchowych i zbrojenia ścian),</t>
  </si>
  <si>
    <t>â–Ş koszty sprzedaży i koszty administracyjne poniesione w okresie sprawozdawczym, które są wykazywane odrębnie w sprawozdaniu z wyniku finansowego i innych całkowitych dochodów,</t>
  </si>
  <si>
    <t>â–Ş wartość sprzedanych towarów i materiałów.</t>
  </si>
  <si>
    <t>267,9</t>
  </si>
  <si>
    <t>Utworzenie odpisu aktualizującego należności i pozostałe aktywa finansowe</t>
  </si>
  <si>
    <t>13,6</t>
  </si>
  <si>
    <t>â–Ş ustalenie okresu obowiązywania umów (w tym dla umów z nieokreślonym terminem lub z możliwością przedłużenia)</t>
  </si>
  <si>
    <t>â–Ş ustalenie stopy procentowej stosowanej do dyskontowania przyszłych przepływów pieniężnych</t>
  </si>
  <si>
    <t>20,0</t>
  </si>
  <si>
    <t>87,9</t>
  </si>
  <si>
    <t>1) Zastawy rejestrowe do najwyższej sumy zabezpieczenia wynoszącej 1 755,0 mln PLN, 66,4 mln USD oraz 92,9 mln EUR ustanowione na rzecz PKO BP jako administratora zastawu na:</t>
  </si>
  <si>
    <t>â–Ş aktywach ruchomych ZORG KWK Knurów-Szczygłowice, ZORG KWK Pniówek, ZORG Ruch Zofiówka, ZORG Ruch Bzie,</t>
  </si>
  <si>
    <t>â–Ş akcjach posiadanych przez JSW w spółkach JSW KOKS i PBSz,</t>
  </si>
  <si>
    <t>â–Ş wybranych rachunkach bankowych JSW.</t>
  </si>
  <si>
    <t>2) Hipoteki umowne łączne ustanowione na rzecz PKO BP jako administratora hipoteki do kwoty 1 755,0 mln PLN, do kwoty 66,4 mln USD oraz do kwoty 92,9 mln EUR na nieruchomościach będących przedmiotem własności lub wieczystego użytkowania JSW, wchodzących w skład zorganizowanych części przedsiębiorstwa JSW w postaci ZORG KWK Knurów-Szczygłowice, ZORG KWK Pniówek, ZORG Ruch Zofiówka, ZORG Ruch Bzie.</t>
  </si>
  <si>
    <t>3) Poręczenia udzielone na rzecz Konsorcjum przez JSW KOKS oraz JZR, każde do kwoty 1 404,0 mln PLN, do kwoty 53,1 mln USD oraz do kwoty 74,3 mln EUR.</t>
  </si>
  <si>
    <t>4) Przelew wierzytelności z umów handlowych oraz wierzytelności z tytułu umów ubezpieczenia.</t>
  </si>
  <si>
    <t>5) Zastaw finansowy i cywilny na wybranych rachunkach bankowych JSW.</t>
  </si>
  <si>
    <t>6) Gwarancja ubezpieczeniowa w wysokości 80% transzy kredytu środowiskowego oraz pożyczek środowiskowych.</t>
  </si>
  <si>
    <t>POZOSTAŁE ZABEZPIECZENIA KREDYTÓW I POŻYCZEK (bez uwzględnienia zabezpieczeń, które zostały opisane powyżej)</t>
  </si>
  <si>
    <t>(36,9)</t>
  </si>
  <si>
    <t>23,4</t>
  </si>
  <si>
    <t>â–Ş wyrobiska ruchowe - wyrobiska górnicze przygotowawcze, wyrobiska pobierkowe oraz inne związane z eksploatacją ściany i pól wydobywczych,</t>
  </si>
  <si>
    <t>â–Ş rzeczowe aktywa trwałe w budowie,</t>
  </si>
  <si>
    <t>â–Ş zbrojenie ścian.</t>
  </si>
  <si>
    <t>â–Ş Grunty nie podlegają amortyzacji,</t>
  </si>
  <si>
    <t>â–Ş Rzeczowe aktywa trwałe w budowie nie podlegają amortyzacji.</t>
  </si>
  <si>
    <t>55,5</t>
  </si>
  <si>
    <t>15,8</t>
  </si>
  <si>
    <t>6,2</t>
  </si>
  <si>
    <t>â–Ş świadectwa pochodzenia energii,</t>
  </si>
  <si>
    <t>â–Ş informacja geologiczna,</t>
  </si>
  <si>
    <t>â–Ş koszty prac rozwojowych,</t>
  </si>
  <si>
    <t>â–Ş oprogramowanie komputerowe,</t>
  </si>
  <si>
    <t>â–Ş autorskie prawa majątkowe.</t>
  </si>
  <si>
    <t>(24,1)</t>
  </si>
  <si>
    <t>(18,6)</t>
  </si>
  <si>
    <t>â–Ş kwotę początkowej wyceny zobowiązania z tytułu leasingu,</t>
  </si>
  <si>
    <t>â–Ş wszelkie opłaty leasingowe zapłacone w dacie rozpoczęcia lub przed tą datą, pomniejszone o wszelkie otrzymane zachęty leasingowe,</t>
  </si>
  <si>
    <t>â–Ş wszelkie początkowe koszty bezpośrednie poniesione przez leasingobiorcę w związku z zawarciem umowy leasingu,</t>
  </si>
  <si>
    <t>â–Ş szacunek kosztów, które mają zostać poniesione przez leasingobiorcę w związku z obowiązkiem demontażu i usunięcia bazowego składnika aktywów lub przeprowadzenia renowacji miejsca, w którym się znajdował, lub przeprowadzeniem renowacji bazowego składnika aktywów do stanu wymaganego przez warunki leasingu, chyba że te koszty są ponoszone w celu wytworzenia zapasów.</t>
  </si>
  <si>
    <t>â–Ş Inne rzeczowe aktywa trwałe 1 - 6 lat,</t>
  </si>
  <si>
    <t>â–Ş leasingu krótkoterminowego â€“ leasing, który w dacie rozpoczęcia ma okres leasingu nie dłuższy niż 12 miesięcy. Uproszczenia tego nie zastosowano do krótkoterminowych umów leasingu środków produkcji, wykorzystywanych w podziemnych zakładach górniczych. Leasing, w którym wprowadzono opcję kupna nie jest leasingiem krótkoterminowym,</t>
  </si>
  <si>
    <t>â–Ş leasingu dotyczącego aktywów o niskiej wartości â€“ czyli takich, których jednostkowa wartość początkowa nowego składnika przedmiotu leasingu nie przekracza 20 tys. PLN, z wyłączeniem prawa wieczystego użytkowania gruntów oraz umów leasingu, w których wprowadzono opcję kupna.</t>
  </si>
  <si>
    <t>1,6</t>
  </si>
  <si>
    <t>(1,2)</t>
  </si>
  <si>
    <t>â–Ş należności handlowe węglowo-koksowe od głównych kontrahentów, tj. kontrahentów o udziale w przychodach ze sprzedaży powyżej 2,5% za dany okres sprawozdawczy. Analizę należności handlowych węglowo-koksowych od głównych kontrahentów przeprowadzono indywidualnie dla każdego kontrahenta w oparciu o prawdopodobieństwo niewypłacalności ustalone na podstawie zewnętrznych ratingów oraz o publicznie dostępne informacje agencji ratingowych dotyczące prawdopodobieństwa niewypłacalności i obliczono oczekiwaną stratę w oparciu o te prawdopodobieństwa, średni termin wymagalności dla portfela należności oraz w oparciu o oczekiwaną stopę odzysku.</t>
  </si>
  <si>
    <t>81,6</t>
  </si>
  <si>
    <t>(3,8)</t>
  </si>
  <si>
    <t>9,7</t>
  </si>
  <si>
    <t>â–Ş 0,07%</t>
  </si>
  <si>
    <t>â–Ş inne długoterminowe świadczenia pracownicze: nagrody jubileuszowe,</t>
  </si>
  <si>
    <t>â–Ş pozostałe świadczenia dla pracowników: niewykorzystane urlopy wypoczynkowe.</t>
  </si>
  <si>
    <t>â–Ş ryzyko stopy procentowej â€“ spadek oprocentowania obligacji spowoduje zwiększenie zobowiązań programu,</t>
  </si>
  <si>
    <t>â–Ş ryzyko długowieczności â€“ wartość bieżącą zobowiązań programu określonych świadczeń oblicza się przez odniesienie do najlepszych szacunków śmiertelności uczestników programu zarówno w okresie zatrudnienia, jak i po okresie zatrudnienia. Zwiększenie oczekiwanej długości trwania życia uczestników programu spowoduje wzrost wartości zobowiązań,</t>
  </si>
  <si>
    <t>â–Ş ryzyko wynagrodzeń â€“ wartość bieżącą zobowiązań programu określonych świadczeń oblicza się przez odniesienie do przyszłego poziomu wynagrodzeń uczestników programu. Wobec tego wzrost wynagrodzeń uczestników programu spowoduje zwiększenie wartości zobowiązań.</t>
  </si>
  <si>
    <t>19,0</t>
  </si>
  <si>
    <t>RAZEM UJĘTE W CAŁKOWITYCH DOCHODACH</t>
  </si>
  <si>
    <t>16,6</t>
  </si>
  <si>
    <t>(21,6)</t>
  </si>
  <si>
    <t>40,3</t>
  </si>
  <si>
    <t>5,9</t>
  </si>
  <si>
    <t>a) likwidacji zakładu górniczego</t>
  </si>
  <si>
    <t>â–Ş przedsięwzięciem niezbędnych środków w celu ochrony środowiska oraz rekultywacji gruntów po działalności górniczej.</t>
  </si>
  <si>
    <t>b) szkód górniczych</t>
  </si>
  <si>
    <t>c) ochrony środowiska</t>
  </si>
  <si>
    <t>d) pozostałych rezerw</t>
  </si>
  <si>
    <t>Utworzone rezerwy zalicza się odpowiednio do kosztów operacyjnych, pozostałych kosztów, kosztów finansowych, w zależności od okoliczności, z którymi przyszłe zobowiązania się wiążą.</t>
  </si>
  <si>
    <t>29,2</t>
  </si>
  <si>
    <t>(13,0)</t>
  </si>
  <si>
    <t>Zakład Górniczy KWK Borynia-Zofiówka-Bzie</t>
  </si>
  <si>
    <t>Dotacje stanowią również korzyści z pożyczek od instytucji państwowych, które są oprocentowane poniżej stopy rynkowej. Zobowiązania z tytułu takich pożyczek ujmuje się początkowo w wartości godziwej, a różnica pomiędzy tak ustaloną wartością początkową pożyczki a kwotą otrzymaną stanowi dotację państwową.</t>
  </si>
  <si>
    <t>(a) Instrumenty wyceniane w zamortyzowanym koszcie</t>
  </si>
  <si>
    <t>(b) Instrumenty wyceniane w wartości godziwej przez wynik finansowy</t>
  </si>
  <si>
    <t>â–Ş Poziom 1: Ceny notowane (nieskorygowane) z aktywnych rynków dla identycznych aktywów bądź zobowiązań.</t>
  </si>
  <si>
    <t>â–Ş Poziom 2: Dane wejściowe inne niż notowania objęte zakresem ww. poziomu możliwe do stwierdzenia lub zaobserwowania dla składnika aktywów bądź zobowiązań, bezpośrednio (tzn. w postaci cen) lub pośrednio (tzn. na podstawie wyliczeń opartych na cenach).</t>
  </si>
  <si>
    <t>â–Ş Poziom 3: Dane wejściowe dla wyceny składnika aktywów bądź zobowiązań, które nie są oparte na możliwych do zaobserwowania danych rynkowych (tzn. dane niemożliwe do zaobserwowania).</t>
  </si>
  <si>
    <t>â–Ş kwotowania kursów terminowych publikowane dla odpowiedniej waluty przez serwis Refinitiv,</t>
  </si>
  <si>
    <t>â–Ş kurs fixing NBP, stanowiący kurs spot, przy którym skalkulowane zostaną (poprzez uwzględnienie struktury terminowej kursów publikowanych przez serwis Refinitiv) kursy terminowe do wyceny,</t>
  </si>
  <si>
    <t>â–Ş czynniki dyskontowe dla waluty funkcjonalnej publikowane przez serwis Refinitiv.</t>
  </si>
  <si>
    <t>â–Ş kwotowania cen terminowych dla TSI publikowane przez serwis Refinitiv,</t>
  </si>
  <si>
    <t>â–Ş czynniki dyskontowe dla waluty kontraktu publikowane przez serwis Refinitiv,</t>
  </si>
  <si>
    <t>â–Ş kurs fixing NBP.</t>
  </si>
  <si>
    <t>30,5</t>
  </si>
  <si>
    <t>40,7</t>
  </si>
  <si>
    <t>Zarządzanie ryzykiem / wdrożone instrumenty Ryzyko cenowe</t>
  </si>
  <si>
    <t>Zarządzanie ryzykiem finansowym jest wykonywane na szczeblu Zarządu JSW. Monitorowaniem ekspozycji na poszczególne rodzaje ryzyk finansowych zajmują się wyodrębnione komórki organizacyjne (zespoły). Zarząd JSW określa zasady ogólnego zarządzania ryzykiem, a także polityki obejmujące określone obszary ryzyka, takie jak ryzyko walutowe, ryzyko stopy procentowej, ryzyko kredytowe, ryzyko utraty płynności.</t>
  </si>
  <si>
    <t>Sytuacja na rynku węgla koksowego i koksu jest powiązana z rynkiem stali i wyrobów hutniczych, cykle koniunkturalne pokazują wahania cen w tych sektorach. Ceny węgla koksowego są mocno uzależnione od popytu na globalnym rynku hutniczo-stalowym, natomiast ceny węgla do celów energetycznych są dodatkowo uzależnione również od innych producentów krajowych. Brak jednolitych kwartalnych benchmarków dla węgla koksowego, oparcie negocjacji cenowych z kontrahentami na cenach referencyjnych wyznaczanych w oparciu o dzienne notowania indeksów cenowych, duża zmienność rynku wynikająca z silnej koncentracji głównych światowych producentów węgla koksowego oraz znaczącej koncentracji odbiorców, a także aktualnie prowadzone działania wojenne mogą prowadzić do znacznych wahań okresowych cen węgla koksowego uzyskiwanych przez JSW.</t>
  </si>
  <si>
    <t>â–Ş optymalizacja struktury produkcji, celem zwiększenia efektywności sprzedaży produktów (zwiększenie produkcji produktów o korzystniejszej cenie i znajdujących zbyt w danym okresie â€“ optymalizacja struktury sprzedaży),</t>
  </si>
  <si>
    <t>â–Ş denominowana w EUR i USD,</t>
  </si>
  <si>
    <t>â–Ş indeksowana do EUR i USD.</t>
  </si>
  <si>
    <t>2,4</t>
  </si>
  <si>
    <t>29,9</t>
  </si>
  <si>
    <t>â–Ş środki pieniężne i ich ekwiwalenty oraz lokaty,</t>
  </si>
  <si>
    <t>â–Ş kredyty i pożyczki,</t>
  </si>
  <si>
    <t>â–Ş zobowiązania z tytułu leasingu.</t>
  </si>
  <si>
    <t>â–Ş należności handlowe,</t>
  </si>
  <si>
    <t>â–Ş środki pieniężne i lokaty bankowe,</t>
  </si>
  <si>
    <t>â–Ş instrumenty pochodne,</t>
  </si>
  <si>
    <t>Ryzyko kredytowe identyfikowane w zakresie należności handlowych związane jest z ich koncentracją i terminowością obsługi. Sprzedaż realizowana jest do ograniczonej liczby odbiorców, stąd występuje koncentracja ryzyka związanego z należnościami handlowymi.</t>
  </si>
  <si>
    <t>14,9</t>
  </si>
  <si>
    <t>482,5</t>
  </si>
  <si>
    <t>(663,4)</t>
  </si>
  <si>
    <t>SKONSOLIDOWANE SPRAWOZDANIE FINANSOWE</t>
  </si>
  <si>
    <t>GRUPY KAPITAŁOWEJ JASTRZĘBSKIEJ SPÓŁKI WĘGLOWEJ S.A.</t>
  </si>
  <si>
    <t>1.1. NAZWA, SIEDZIBA, PRZEDMIOT DZIAŁALNOŚCI .................................................................................................................................... 9</t>
  </si>
  <si>
    <t>1.2. SKŁAD GRUPY KAPITAŁOWEJ .................................................................................................................................................................. 9</t>
  </si>
  <si>
    <t>2.1. PODSTAWA SPORZĄDZENIA SPRAWOZDANIA FINANSOWEGO ....................................................................................................... 12</t>
  </si>
  <si>
    <t>2.1.1. WALUTA FUNKCJONALNA I WALUTA PREZENTACJI ................................................................................................................. 12</t>
  </si>
  <si>
    <t>2.2. ZAŁOŻENIE KONTYNUACJI DZIAŁALNOŚCI .......................................................................................................................................... 12</t>
  </si>
  <si>
    <t>3.1. SEGMENTY OPERACYJNE ...................................................................................................................................................................... 18</t>
  </si>
  <si>
    <t>4.1. PRZYCHODY ZE SPRZEDAŻY ................................................................................................................................................................. 22</t>
  </si>
  <si>
    <t>4.2. KOSZT SPRZEDANYCH PRODUKTÓW, MATERIAŁÓW I TOWARÓW ................................................................................................. 23</t>
  </si>
  <si>
    <t>4.3. POZOSTAŁE PRZYCHODY ...................................................................................................................................................................... 23</t>
  </si>
  <si>
    <t>4.4. POZOSTAŁE KOSZTY ............................................................................................................................................................................... 24</t>
  </si>
  <si>
    <t>4.5. POZOSTAŁE ZYSKI â€“ NETTO .................................................................................................................................................................. 24</t>
  </si>
  <si>
    <t>4.6. PRZYCHODY I KOSZTY FINANSOWE ..................................................................................................................................................... 25</t>
  </si>
  <si>
    <t>5.1. PODATEK DOCHODOWY ......................................................................................................................................................................... 27</t>
  </si>
  <si>
    <t>5.2. ODROCZONY PODATEK DOCHODOWY ................................................................................................................................................ 28</t>
  </si>
  <si>
    <t>Noty do skonsolidowanego sprawozdania finansowego stanowią jego integralną część.</t>
  </si>
  <si>
    <t>SKONSOLIDOWANE SPRAWOZDANIE Z WYNIKU FINANSOWEGO I INNYCH CAŁKOWITYCH DOCHODÓW</t>
  </si>
  <si>
    <t>Za rok obrotowy</t>
  </si>
  <si>
    <t>Nota zakończony</t>
  </si>
  <si>
    <t>zakończony</t>
  </si>
  <si>
    <t xml:space="preserve">Przychody ze sprzedaży </t>
  </si>
  <si>
    <t>15 338,5</t>
  </si>
  <si>
    <t xml:space="preserve">Koszt sprzedanych produktów, materiałów i towarów </t>
  </si>
  <si>
    <t>(11 490,7)</t>
  </si>
  <si>
    <t xml:space="preserve">ZYSK BRUTTO ZE SPRZEDAŻY </t>
  </si>
  <si>
    <t>3 847,8</t>
  </si>
  <si>
    <t xml:space="preserve">Koszty sprzedaży </t>
  </si>
  <si>
    <t>(449,3)</t>
  </si>
  <si>
    <t xml:space="preserve">Koszty administracyjne </t>
  </si>
  <si>
    <t>(1 060,2)</t>
  </si>
  <si>
    <t xml:space="preserve">Pozostałe przychody </t>
  </si>
  <si>
    <t>187,3</t>
  </si>
  <si>
    <t xml:space="preserve">Pozostałe koszty </t>
  </si>
  <si>
    <t>(380,7)</t>
  </si>
  <si>
    <t xml:space="preserve">Pozostałe zyski â€“ netto </t>
  </si>
  <si>
    <t xml:space="preserve">ZYSK OPERACYJNY </t>
  </si>
  <si>
    <t>2 826,7</t>
  </si>
  <si>
    <t>274,1</t>
  </si>
  <si>
    <t xml:space="preserve">Koszty finansowe </t>
  </si>
  <si>
    <t>(226,2)</t>
  </si>
  <si>
    <t xml:space="preserve">Udział w zyskach jednostek stowarzyszonych </t>
  </si>
  <si>
    <t xml:space="preserve">ZYSK PRZED OPODATKOWANIEM </t>
  </si>
  <si>
    <t>2 874,7</t>
  </si>
  <si>
    <t xml:space="preserve">Podatek dochodowy </t>
  </si>
  <si>
    <t>(1 877,6)</t>
  </si>
  <si>
    <t xml:space="preserve">ZYSK NETTO </t>
  </si>
  <si>
    <t>997,1</t>
  </si>
  <si>
    <t xml:space="preserve">Zmiana wartości instrumentów zabezpieczających </t>
  </si>
  <si>
    <t xml:space="preserve">Inne całkowite dochody, które nie będą podlegały przeklasyfikowaniu do wyniku netto: </t>
  </si>
  <si>
    <t>(79,5)</t>
  </si>
  <si>
    <t xml:space="preserve">Zyski/(straty) aktuarialne </t>
  </si>
  <si>
    <t>(98,1)</t>
  </si>
  <si>
    <t>(2,6)</t>
  </si>
  <si>
    <t xml:space="preserve">INNE CAŁKOWITE DOCHODY RAZEM </t>
  </si>
  <si>
    <t>(69,7)</t>
  </si>
  <si>
    <t>26,1</t>
  </si>
  <si>
    <t xml:space="preserve">CAŁKOWITE DOCHODY RAZEM </t>
  </si>
  <si>
    <t>927,4</t>
  </si>
  <si>
    <t xml:space="preserve">- akcjonariuszy Jednostki dominującej </t>
  </si>
  <si>
    <t>993,9</t>
  </si>
  <si>
    <t xml:space="preserve">- udziały niekontrolujące </t>
  </si>
  <si>
    <t>3,2</t>
  </si>
  <si>
    <t>925,0</t>
  </si>
  <si>
    <t>8,46</t>
  </si>
  <si>
    <t>SKONSOLIDOWANE SPRAWOZDANIE Z SYTUACJI FINANSOWEJ</t>
  </si>
  <si>
    <t>Inwestycje w jednostkach stowarzyszonych</t>
  </si>
  <si>
    <t>Inwestycje w portfel aktywów FIZ</t>
  </si>
  <si>
    <t xml:space="preserve">- </t>
  </si>
  <si>
    <t>9,6</t>
  </si>
  <si>
    <t xml:space="preserve">2 690,8 </t>
  </si>
  <si>
    <t>SKONSOLIDOWANE SPRAWOZDANIE Z SYTUACJI FINANSOWEJ (CD.)</t>
  </si>
  <si>
    <t xml:space="preserve">7.10.2 </t>
  </si>
  <si>
    <t>14 305,0</t>
  </si>
  <si>
    <t>13 389,6</t>
  </si>
  <si>
    <t>RAZEM KAPITAŁ WŁASNY PRZYPADAJĄCY NA AKCJONARIUSZY</t>
  </si>
  <si>
    <t>JEDNOSTKI DOMINUJĄCEJ</t>
  </si>
  <si>
    <t>16 469,4</t>
  </si>
  <si>
    <t>15 544,2</t>
  </si>
  <si>
    <t>UDZIAŁY NIEKONTROLUJĄCE</t>
  </si>
  <si>
    <t xml:space="preserve">7.10.3 </t>
  </si>
  <si>
    <t>502,3</t>
  </si>
  <si>
    <t>501,0</t>
  </si>
  <si>
    <t>16 971,7</t>
  </si>
  <si>
    <t>16 045,2</t>
  </si>
  <si>
    <t>Zobowiązania FIZ</t>
  </si>
  <si>
    <t>SKONSOLIDOWANE SPRAWOZDANIE ZE ZMIAN W KAPITALE WŁASNYM</t>
  </si>
  <si>
    <t>Przypadające na akcjonariuszy Jednostki dominującej</t>
  </si>
  <si>
    <t>Udziały niekontrolujące</t>
  </si>
  <si>
    <t>22,2</t>
  </si>
  <si>
    <t>SKONSOLIDOWANE SPRAWOZDANIE Z PRZEPŁYWÓW PIENIĘŻNYCH</t>
  </si>
  <si>
    <t>Przepływy netto z inwestycji FIZ</t>
  </si>
  <si>
    <t xml:space="preserve">6.1, 6.3 </t>
  </si>
  <si>
    <t>Otrzymane dotacje</t>
  </si>
  <si>
    <t>Transakcje z udziałami niekontrolującymi (zakup udziałów od udziałowców niekontrolujących)</t>
  </si>
  <si>
    <t>Pozostałe przepływy netto z działalności finansowej</t>
  </si>
  <si>
    <t>4 837,9</t>
  </si>
  <si>
    <t>NOTY DO SKONSOLIDOWANEGO SPRAWOZDANIA FINANSOWEGO</t>
  </si>
  <si>
    <t>Niniejsze sprawozdanie finansowe jest skonsolidowanym sprawozdaniem finansowym Grupy Kapitałowej Jastrzębskiej Spółki Węglowej S.A.</t>
  </si>
  <si>
    <t>Grupa Kapitałowa Jastrzębskiej Spółki Węglowej S.A. (â€žGrupaâ€ť, â€žGrupa Kapitałowaâ€ť) składa się z Jastrzębskiej Spółki Węglowej S.A. (â€žJSWâ€ť, â€žJednostka dominującaâ€ť) i jej spółek zależnych zlokalizowanych na terenie Polski.</t>
  </si>
  <si>
    <t>PODSTAWOWE INFORMACJE O JEDNOSTCE DOMINUJĄCEJ NAZWA Jastrzębska Spółka Węglowa S.A. SIEDZIBA Aleja Jana Pawła II 4, 44-330 Jastrzębie-Zdrój, Polska KRS 0000072093 â€“ Sąd Rejonowy w Gliwicach X Wydział Gospodarczy Krajowego Rejestru Sądowego, Polska REGON 271747631 NIP 633 000 51 10 PODSTAWOWY PRZEDMIOT DZIAŁALNOŚCI Wydobywanie, wzbogacanie i sprzedaż węgla kamiennego oraz sprzedaż koksu i węglopochodnych</t>
  </si>
  <si>
    <t>Jastrzębska Spółka Węglowa S.A., spółka akcyjna, jest jednostką dominującą Grupy Kapitałowej. Zgodnie ze Statutem, Jednostka dominująca może działać na obszarze Rzeczypospolitej Polskiej i poza jej granicami. Czas trwania działalności JSW jest nieoznaczony. Akcje Jednostki dominującej znajdują się w publicznym obrocie od 6 lipca 2011 roku. Według klasyfikacji Giełdy Papierów Wartościowych w Warszawie S.A. JSW zakwalifikowana jest do sektora górnictwa węgla.</t>
  </si>
  <si>
    <t>Grupa Kapitałowa Jastrzębskiej Spółki Węglowej S.A. jest największym producentem węgla koksowego typu hard i znaczącym producentem koksu w Unii Europejskiej. Od lat zajmuje kluczową pozycję na polskim i europejskim rynku węgla koksowego, za sprawą produkcji wysokiej jakości węgla koksowego i koksu oraz dzięki usytuowaniu działalności w sąsiedztwie jej głównych odbiorców. Grupa wydobywa również węgiel do celów energetycznych.</t>
  </si>
  <si>
    <t>1.2. SKŁAD GRUPY KAPITAŁOWEJ</t>
  </si>
  <si>
    <t>â–Ş 17 spółkach zależnych (bezpośrednio i pośrednio),</t>
  </si>
  <si>
    <t>â–Ş 1 spółce stowarzyszonej.</t>
  </si>
  <si>
    <t>Spółki zależne podlegają konsolidacji metodą pełną. Ponadto konsolidacją metodą pełną objęto JSW Stabilizacyjny Fundusz Inwestycyjny Zamknięty.</t>
  </si>
  <si>
    <t>Udziały w jednostce stowarzyszonej (Remkoks Sp. z o.o.) są w skonsolidowanym sprawozdaniu finansowym wyceniane metodą praw własności.</t>
  </si>
  <si>
    <t>Poniżej przedstawiono informacje o jednostkach wchodzących w skład Grupy Kapitałowej objętych konsolidacją metodą pełną:</t>
  </si>
  <si>
    <t>Lp.</t>
  </si>
  <si>
    <t>Nazwa spółki</t>
  </si>
  <si>
    <t>Podstawowy przedmiot działalności</t>
  </si>
  <si>
    <t>Procentowy udział spółek Grupy w kapitale podstawowym</t>
  </si>
  <si>
    <t>Jednostka dominująca</t>
  </si>
  <si>
    <t>Jastrzębska Spółka Węglowa S.A. (â€žJSWâ€ť)</t>
  </si>
  <si>
    <t>Jastrzębie-Zdrój</t>
  </si>
  <si>
    <t>Wydobywanie i sprzedaż węgla kamiennego, sprzedaż koksu i węglopochodnych nie dotyczy</t>
  </si>
  <si>
    <t>Spółki bezpośrednio zależne</t>
  </si>
  <si>
    <t>JSW KOKS S.A. (â€žJSW KOKSâ€ť)</t>
  </si>
  <si>
    <t>Zabrze</t>
  </si>
  <si>
    <t>Produkcja koksu oraz produktów węglopochodnych, dostawa energii elektrycznej i ciepła 96,28%</t>
  </si>
  <si>
    <t>Jastrzębskie Zakłady Remontowe Sp. z o.o. (â€žJZRâ€ť)</t>
  </si>
  <si>
    <t>Działalność usługowa w zakresie remontów maszyn i urządzeń, ich konserwacja, usługi serwisowe, produkcja maszyn dla górnictwa oraz budownictwa 60,40%</t>
  </si>
  <si>
    <t>Przedsiębiorstwo Budowy Szybów S.A. (â€žPBSzâ€ť)</t>
  </si>
  <si>
    <t>Tarnowskie Góry</t>
  </si>
  <si>
    <t>Specjalistyczne usługi górnicze: projektowanie i wykonywanie wyrobisk pionowych, poziomych i tuneli, budownictwo, wynajem maszyn i urządzeń, instalowanie, naprawa i konserwacja maszyn dla górnictwa, kopalnictwa i budownictwa 95,81%</t>
  </si>
  <si>
    <t>JSW Nowe Projekty S.A. (â€žJSW Nowe Projektyâ€ť)</t>
  </si>
  <si>
    <t>Katowice</t>
  </si>
  <si>
    <t>Realizacja ekologicznych projektów w obszarze energetyki na rzecz Grupy. Dostawca usług w zakresie wykorzystywania samolotów bezzałogowych dla potrzeb komercyjnych. Rozwój odnawialnych źródeł energii i poprawa efektywności energetycznej 100,00%</t>
  </si>
  <si>
    <t>Przedsiębiorstwo Gospodarki Wodnej i Rekultywacji S.A. (â€žPGWiRâ€ť)</t>
  </si>
  <si>
    <t>Centralne Laboratorium Pomiarowo â€“ Badawcze Sp. z o.o. (â€žCLP-Bâ€ť)</t>
  </si>
  <si>
    <t>Wykonywanie usług badań technicznych, analiz chemicznych i fizyko-chemicznych kopalin, materiałów oraz produktów stałych, ciekłych i gazowych 99,92%</t>
  </si>
  <si>
    <t>99,92%</t>
  </si>
  <si>
    <t>Jastrzębska Spółka Kolejowa Sp. z o.o. (â€žJSKâ€ť)</t>
  </si>
  <si>
    <t>Udostępnianie linii kolejowych, utrzymanie budowli i urządzeń infrastruktury kolejowej, budowa i remonty układów torowych oraz obiektów kolejowych 100,00%</t>
  </si>
  <si>
    <t>JSW IT Systems Sp. z o.o. (â€žJSW IT Systemsâ€ť)</t>
  </si>
  <si>
    <t>Kompleksowa obsługa informatyczna, działalność w zakresie oprogramowania i przetwarzania danych, doradztwo w zakresie sprzętu komputerowego 100,00%</t>
  </si>
  <si>
    <t>JSU Sp. z o.o. (â€žJSUâ€ť)</t>
  </si>
  <si>
    <t>Pośrednictwo ubezpieczeniowe wraz z obsługą ubezpieczeń w zakresie likwidacji szkód ubezpieczeniowych, działalność turystyczna i hotelarska 100,00%</t>
  </si>
  <si>
    <t>JSW Logistics Sp. z o.o. (â€žJSW Logisticsâ€ť)</t>
  </si>
  <si>
    <t>Świadczenie usług w zakresie obsługi bocznic kolejowych, przewozów węgla i koksu, przewozu ładunków oraz utrzymania i naprawy pojazdów kolejowych 100,00%</t>
  </si>
  <si>
    <t>JSW Szkolenie i Górnictwo Sp. z o.o. (â€žJSW SiGâ€ť)</t>
  </si>
  <si>
    <t>Działalność usługowa wspomagająca górnictwo 100,00%</t>
  </si>
  <si>
    <t>Spółki pośrednio zależne</t>
  </si>
  <si>
    <t>BTS Sp. z o.o. (â€žBTSâ€ť)</t>
  </si>
  <si>
    <t>Dąbrowa Górnicza</t>
  </si>
  <si>
    <t>Usługi transportowe, ogólnobudowlane i gastronomiczne 100,00%</t>
  </si>
  <si>
    <t>ZREM-BUD Sp. z o.o. (â€žZREM-BUDâ€ť)</t>
  </si>
  <si>
    <t>Usługi w zakresie remontów maszyn i urządzeń mechanicznych, sprzętu elektrycznego i przyrządów kontrolno-pomiarowych oraz budownictwa przemysłowego 100,00%</t>
  </si>
  <si>
    <t>CARBOTRANS Sp. z o.o. (â€žCarbotransâ€ť)</t>
  </si>
  <si>
    <t>Transport drogowy towarów 100,00%</t>
  </si>
  <si>
    <t>JZR Dźwigi Sp. z o.o. (â€žJZR Dźwigiâ€ť)</t>
  </si>
  <si>
    <t>Usługi z zakresu produkcji, modernizacji, remontów, konserwacji, przeglądów oraz serwisu urządzeń transportu bliskiego 100,00%</t>
  </si>
  <si>
    <t>JSW Ochrona Sp. z o.o. (â€žJSW Ochronaâ€ť)</t>
  </si>
  <si>
    <t>Działalność ochroniarska oraz pomocnicza związana z utrzymaniem porządku 100,00%</t>
  </si>
  <si>
    <t>JSW Zwałowanie i Rekultywacja Sp. z o.o. (â€žJSW Zwałowanie i Rekultywacjaâ€ť)</t>
  </si>
  <si>
    <t>Świadczenie usług zagospodarowania odpadów pokopalnianych oraz rekultywacji 100,00%</t>
  </si>
  <si>
    <t>Inne jednostki</t>
  </si>
  <si>
    <t>JSW Stabilizacyjny Fundusz Inwestycyjny Zamknięty (â€žJSW Stabilizacyjny FIZâ€ť, â€žFunduszâ€ť) *</t>
  </si>
  <si>
    <t>Warszawa</t>
  </si>
  <si>
    <t>Lokowanie środków pieniężnych zebranych w drodze niepublicznego proponowania nabycia Certyfikatów Inwestycyjnych w określone w Statucie papiery wartościowe, instrumenty rynku pieniężnego oraz inne prawa majątkowe 100,00%</t>
  </si>
  <si>
    <t>* Procentowy udział określony na podstawie procentowego zaangażowania Jednostki dominującej w portfel aktywów Funduszu.</t>
  </si>
  <si>
    <t>Walutą funkcjonalną wszystkich spółek Grupy i walutą prezentacji niniejszego sprawozdania jest złoty polski (â€žPLNâ€ť).</t>
  </si>
  <si>
    <t>Niniejsze skonsolidowane sprawozdane finansowe zostało sporządzone w milionach PLN i wszystkie wartości, o ile nie wskazano inaczej, podane zostały w mln PLN.</t>
  </si>
  <si>
    <t>Niniejsze skonsolidowane sprawozdanie finansowe zostało sporządzone przy założeniu kontynuowania działalności gospodarczej przez Grupę w niezmienionej formie i zakresie przez okres co najmniej 12 miesięcy od dnia kończącego okres sprawozdawczy.</t>
  </si>
  <si>
    <t>Celem nadrzędnym Grupy w zakresie przeciwdziałania zmianom klimatu jest dążenie do osiągnięcia neutralności klimatycznej do 2050 roku. Jako cel średnioterminowy Grupy przyjęto redukcję śladu węglowego (w zakresach 1 i 2) o 30% do 2030 roku względem roku 2018.</t>
  </si>
  <si>
    <t>W ramach działań mających na celu realizację celów strategicznych w zakresie ochrony klimatu oraz minimalizację ryzyk wynikających z aktualnych i przewidywanych zmian otoczenia regulacyjnego wskutek zmian klimatycznych, Grupa:</t>
  </si>
  <si>
    <t>Sporządzenie skonsolidowanego sprawozdania finansowego zgodnie z MSSF wymaga przyjęcia pewnych założeń oraz dokonania szacunków i osądów, które wpływają na przyjęte zasady rachunkowości oraz wielkości wykazane w skonsolidowanym sprawozdaniu finansowym. Założenia i szacunki wynikają z dotychczasowych doświadczeń oraz innych czynników, w tym przewidywań odnośnie do przyszłych zdarzeń, które w danej sytuacji wydają się zasadne. Uzyskane w ten sposób oszacowania księgowe z definicji rzadko pokrywać się będą z faktycznymi rezultatami. Oszacowania i osądy księgowe podlegają regularnej weryfikacji.</t>
  </si>
  <si>
    <t>Istotne zasady rachunkowości oraz istotne wartości oparte na osądach i szacunkach zostały przedstawione jako element poszczególnych not objaśniających do skonsolidowanego sprawozdania finansowego.</t>
  </si>
  <si>
    <t>2.4. ZASADY KONSOLIDACJI I UJMOWANIE INWESTYCJI W SPÓŁKI STOWARZYSZONE</t>
  </si>
  <si>
    <t>Niniejsze skonsolidowane sprawozdanie finansowe zostało sporządzone na podstawie sprawozdania finansowego Jednostki dominującej oraz sprawozdań finansowych jej jednostek zależnych i stowarzyszonych. Sprawozdania finansowe jednostek objętych konsolidacją sporządzane są za ten sam okres sprawozdawczy, w oparciu o jednolite zasady rachunkowości.</t>
  </si>
  <si>
    <t>Wszystkie transakcje wewnątrzgrupowe, rozrachunki, przychody, koszty i niezrealizowane zyski z transakcji między jednostkami Grupy są w całości eliminowane. Niezrealizowane straty są eliminowane, chyba że dowodzą wystąpienia utraty wartości.</t>
  </si>
  <si>
    <t>Jednostki zależne podlegają konsolidacji metodą pełną od dnia przejęcia, będącego dniem objęcia kontroli nad spółką, do dnia utraty tej kontroli. Kontrola występuje wówczas, gdy Jednostka dominująca, z tytułu swojego zaangażowania w tę jednostkę, podlega ekspozycji na zmienne zwroty lub ma do nich prawa oraz możliwość wywierania wpływu na wysokość tych zwrotów poprzez sprawowanie władzy nad jednostką.</t>
  </si>
  <si>
    <t>Jednostki stowarzyszone to wszelkie jednostki, na które Jednostka dominująca bezpośrednio lub poprzez spółki zależne wywiera znaczący wpływ, ale nie sprawuje kontroli, co zwykle towarzyszy posiadaniu od 20% do 50% ogólnej liczby głosów w organach stanowiących. Inwestycje w jednostkach stowarzyszonych są ujmowane metodą praw własności.</t>
  </si>
  <si>
    <t>2.5. NOWE STANDARDY, INTERPRETACJE I ICH ZMIANY</t>
  </si>
  <si>
    <t>MSSF w kształcie zatwierdzonym przez UE nie różnią się obecnie w znaczący sposób od regulacji przyjętych przez Radę Międzynarodowych Standardów Rachunkowości (â€žRMSRâ€ť), z wyjątkiem poniższych zmian do standardów, które według stanu na dzień sporządzenia niniejszego skonsolidowanego sprawozdania finansowego nie zostały jeszcze przyjęte do stosowania:</t>
  </si>
  <si>
    <t>10 507,4</t>
  </si>
  <si>
    <t>116,0</t>
  </si>
  <si>
    <t>3. NOTY OBJAŚNIAJĄCE DO SEGMENTÓW OPERACYJNYCH</t>
  </si>
  <si>
    <t>3.1. SEGMENTY OPERACYJNE ISTOTNE ZASADY RACHUNKOWOŚCI</t>
  </si>
  <si>
    <t>SEGMENTY OPERACYJNE</t>
  </si>
  <si>
    <t>Organizacja i zarządzanie Grupą odbywają się w podziale na segmenty, uwzględniające rodzaj oferowanych wyrobów oraz rodzaj działalności produkcyjnej.</t>
  </si>
  <si>
    <t>W wyniku analiz kryteriów agregacji oraz progów ilościowych wydzielono w skonsolidowanym sprawozdaniu finansowym Grupy następujące segmenty operacyjne, które jednocześnie stanowią segmenty sprawozdawcze:</t>
  </si>
  <si>
    <t>â–Ş Segment Węgiel â€“ który obejmuje wydobycie i sprzedaż węgla kamiennego;</t>
  </si>
  <si>
    <t>â–Ş Segment Koks â€“ który obejmuje wytwarzanie i sprzedaż koksu oraz węglopochodnych;</t>
  </si>
  <si>
    <t>â–Ş Pozostałe segmenty â€“ które obejmują działalność jednostek Grupy, a które nie wchodzą w zakres wymieniony w Segmencie Węgiel i Segmencie Koks.</t>
  </si>
  <si>
    <t>Zarząd Jednostki dominującej zidentyfikował segmenty operacyjne na podstawie sprawozdawczości finansowej spółek wchodzących w skład Grupy, dane z niej pochodzące są wykorzystywane przy podejmowaniu decyzji strategicznych w Grupie.</t>
  </si>
  <si>
    <t>INFORMACJE O SEGMENTACH DLA CELÓW SPRAWOZDAWCZYCH</t>
  </si>
  <si>
    <t>Węgiel</t>
  </si>
  <si>
    <t>Koks</t>
  </si>
  <si>
    <t>* Żadna z działalności wykazywanych w â€žPozostałych segmentachâ€ť nie spełnia kryteriów agregacji oraz progów ilościowych określonych przez MSSF 8 Segmenty operacyjne skutkujących wyodrębnieniem jej jako osobny segment operacyjny.</t>
  </si>
  <si>
    <t>** Kolumna: â€žKorekty konsolidacyjneâ€ť eliminuje skutki transakcji między segmentami w ramach Grupy Kapitałowej.</t>
  </si>
  <si>
    <t>Korekta przychodów ze sprzedaży z tytułu realizacji transakcji zabezpieczających</t>
  </si>
  <si>
    <t>11,9</t>
  </si>
  <si>
    <t>65,7</t>
  </si>
  <si>
    <t>15,0</t>
  </si>
  <si>
    <t>AKTYWA SEGMENTÓW</t>
  </si>
  <si>
    <t>Kwoty łącznych aktywów są wycenione w sposób spójny ze sposobem zastosowanym w skonsolidowanym sprawozdaniu z sytuacji finansowej. Aktywa te są alokowane zgodnie z przedmiotem działalności segmentu i według fizycznej lokalizacji danego składnika majątku.</t>
  </si>
  <si>
    <t>Aktywa Grupy znajdują się na terenie Polski.</t>
  </si>
  <si>
    <t>Poniżej przedstawione jest uzgodnienie aktywów segmentów z aktywami ogółem Grupy:</t>
  </si>
  <si>
    <t>Pozostałe segmenty</t>
  </si>
  <si>
    <t>RAZEM SPRZEDAŻ NA TERENIE POLSKI</t>
  </si>
  <si>
    <t>Kraje Unii Europejskiej, w tym:</t>
  </si>
  <si>
    <t>14,4</t>
  </si>
  <si>
    <t>Kraje europejskie poza Unią Europejską, w tym:</t>
  </si>
  <si>
    <t>Pozostałe kraje, w tym:</t>
  </si>
  <si>
    <t>RAZEM SPRZEDAŻ POZA POLSKĘ, w tym:</t>
  </si>
  <si>
    <t>40,0</t>
  </si>
  <si>
    <t>Za okres od 1 stycznia do 31 grudnia 2023 roku przychody z tytułu sprzedaży do dwóch klientów przekroczyły dla każdego z nich pojedynczo poziom 10% przychodów ze sprzedaży Grupy. Przychody ze sprzedaży do jednego z nich wyniosły 3 552,8 mln PLN, do drugiego 2 417,6 mln PLN. Przychody ze sprzedaży do tych klientów zostały ujęte w Segmencie Węgiel oraz w Segmencie Koks.</t>
  </si>
  <si>
    <t>4. NOTY OBJAŚNIAJĄCE DO SKONSOLIDOWANEGO SPRAWOZDANIA Z WYNIKU FINANSOWEGO I INNYCH CAŁKOWITYCH DOCHODÓW</t>
  </si>
  <si>
    <t>4.1. PRZYCHODY ZE SPRZEDAŻY ISTOTNE ZASADY RACHUNKOWOŚCI</t>
  </si>
  <si>
    <t>Grupa generuje przychody powstające z prowadzonej działalności operacyjnej, przede wszystkim ze sprzedaży węgla koksowego oraz sprzedaży koksu. Grupa prowadzi również w mniejszym zakresie sprzedaż węgla do celów energetycznych i produktów węglopochodnych. Grupa ujmuje jako przychody z umów z klientami w skonsolidowanym sprawozdaniu z wyniku finansowego i innych całkowitych dochodów (tj. przychody ze sprzedaży), skorygowane o wynik z rozliczenia instrumentów zabezpieczających przyszłe przepływy pieniężne.</t>
  </si>
  <si>
    <t>Grupa ujmuje przychody ze sprzedaży w momencie spełnienia (lub w trakcie spełniania) zobowiązania do wykonania świadczenia poprzez przekazanie przyrzeczonego dobra lub usługi (tj. składnika aktywów) klientowi (klient uzyskuje kontrolę nad tym składnikiem aktywów) w kwocie, która odzwierciedla kwotę wynagrodzenia, które â€“ zgodnie z oczekiwaniem Grupy â€“ przysługuje jej w zamian za przekazanie przyrzeczonych dóbr lub usług klientowi.</t>
  </si>
  <si>
    <t>W celu ustalenia ceny transakcyjnej Grupa uwzględnia warunki umowy oraz stosowane przez nią zwyczajowe praktyki handlowe. Cena transakcyjna to kwota wynagrodzenia, które â€“ zgodnie z oczekiwaniem Grupy â€“ będzie jej przysługiwać w zamian za przekazanie przyrzeczonych dóbr lub usług na rzecz klienta, z wyłączeniem kwot pobranych w imieniu osób trzecich (na przykład niektórych podatków od sprzedaży). Wynagrodzenie określone w umowie z klientem może obejmować kwoty stałe, kwoty zmienne lub oba te rodzaje kwot.</t>
  </si>
  <si>
    <t>Niektóre umowy z kontrahentami Grupy zawierają zapisy o korektach jakościowych stanowiących podstawę do wyliczenia ostatecznej ceny sprzedaży, czy pewnych formach premiowania klienta. Jeżeli jest wysoce prawdopodobne, że nie nastąpi odwrócenie znaczącej części skumulowanych przychodów w przyszłości, w takich przypadkach, uwzględnia się kwoty wynagrodzenia zmiennego w cenie transakcyjnej. Ponowna ocena wynagrodzenia zmiennego jest dokonywana na koniec każdego okresu sprawozdawczego.</t>
  </si>
  <si>
    <t>Opierając się na warunkach dostawy obowiązujących dla większości kontraktów, Grupa stwierdziła, że moment przeniesienia kontroli na klienta następuje po dostarczeniu dóbr do klienta lub przekazaniu ich przewoźnikowi i jednoczesnym zakończeniu usługi transportu, jeśli wystąpiła. Wówczas z reguły następuje fizyczne przekazanie lub przeniesienie tytułu prawnego do danego składnika aktywów odbiorcy lub przekazanie odbiorcy istotnych ryzyk i korzyści związanych ze sprzedanym składnikiem aktywów. W takich przypadkach wszystkie przyrzeczone w umowie dobra i usługi (tj. dostawa dobra w postaci węgla lub koksu wraz z dotyczącą ich usługą transportu) traktowane są jako jedno zobowiązanie do wykonania świadczenia i przychód ujmowany jest jednorazowo w określonym momencie.</t>
  </si>
  <si>
    <t>4.2. KOSZT SPRZEDANYCH PRODUKTÓW, MATERIAŁÓW I TOWARÓW ISTOTNE ZASADY RACHUNKOWOŚCI</t>
  </si>
  <si>
    <t>Koszty wytworzenia, które można bezpośrednio przyporządkować osiągniętym przychodom przez Grupę, wpływają na wynik finansowy za ten okres sprawozdawczy, w którym przychody te wystąpiły.</t>
  </si>
  <si>
    <t>Koszty wytworzenia, które można jedynie w sposób pośredni przyporządkować przychodom lub innym korzyściom osiąganym przez Grupę, wpływają na wynik finansowy Grupy w części, w której dotyczą danego okresu sprawozdawczego, zapewniając ich współmierność do przychodów lub innych korzyści ekonomicznych.</t>
  </si>
  <si>
    <t>4.3. POZOSTAŁE PRZYCHODY</t>
  </si>
  <si>
    <t>Przedawnione i umorzone zobowiązania wraz z odsetkami</t>
  </si>
  <si>
    <t>35,0</t>
  </si>
  <si>
    <t>27,6</t>
  </si>
  <si>
    <t>34,9</t>
  </si>
  <si>
    <t>24,0</t>
  </si>
  <si>
    <t>14,1</t>
  </si>
  <si>
    <t>Przychody z tytułu przyznanych świadectw efektywności energetycznej (certyfikaty białe)</t>
  </si>
  <si>
    <t>6,3</t>
  </si>
  <si>
    <t>4.4. POZOSTAŁE KOSZTY</t>
  </si>
  <si>
    <t>21,3</t>
  </si>
  <si>
    <t>12,3</t>
  </si>
  <si>
    <t>9,0</t>
  </si>
  <si>
    <t>5,4</t>
  </si>
  <si>
    <t>Utworzenie rezerwy na koszty likwidacji ZK Dębieńsko</t>
  </si>
  <si>
    <t>8,4</t>
  </si>
  <si>
    <t>4.5. POZOSTAŁE ZYSKI â€“ NETTO</t>
  </si>
  <si>
    <t>(53,2)</t>
  </si>
  <si>
    <t>73,7</t>
  </si>
  <si>
    <t>Zysk z tytułu wyceny do wartości godziwej portfela aktywów FIZ, w tym:</t>
  </si>
  <si>
    <t>- przychody odsetkowe portfela aktywów FIZ wyliczone według efektywnej stopy procentowej</t>
  </si>
  <si>
    <t>- zysk z wyceny do wartości godziwej</t>
  </si>
  <si>
    <t>294,3</t>
  </si>
  <si>
    <t>- różnice kursowe</t>
  </si>
  <si>
    <t>681,8</t>
  </si>
  <si>
    <t>4.6. PRZYCHODY I KOSZTY FINANSOWE</t>
  </si>
  <si>
    <t>183,9</t>
  </si>
  <si>
    <t>8,9</t>
  </si>
  <si>
    <t>5. NOTY OBJAŚNIAJĄCE DOTYCZĄCE OPODATKOWANIA ISTOTNE ZASADY RACHUNKOWOŚCI</t>
  </si>
  <si>
    <t>Zobowiązania i aktywa z tytułu odroczonego podatku dochodowego tworzone są od różnic przejściowych pomiędzy wartością podatkową aktywów i zobowiązań, a ich wartością księgową w skonsolidowanym sprawozdaniu finansowym, z wyjątkiem różnic przejściowych wynikających z początkowego ujęcia składnika aktywów czy zobowiązań w transakcji innej niż połączenie jednostek gospodarczych, która w momencie powstania nie wpływa ani na wynik finansowy ani na wynik podatkowy i nie powoduje powstania takich samych dodatnich i ujemnych różnic przejściowych. Grupa ujmuje zobowiązania z tytułu podatku odroczonego w zakresie różnic przejściowych związanych z prawami do użytkowania składnika aktywów oraz aktywa z tytułu podatku odroczonego w zakresie różnic przejściowych związanych ze zobowiązaniami z tytułu leasingu.</t>
  </si>
  <si>
    <t>Grupa rozpoznaje składnik aktywów z tytułu odroczonego podatku dochodowego od straty podatkowej, jeżeli jest prawdopodobne, że w przyszłości zostanie osiągnięty dochód do opodatkowania pozwalający na jego wykorzystanie. Kwota aktywa z tytułu odroczonego podatku dochodowego z tytułu innych różnic przejściowych są analizowane pod kątem możliwości ich odzyskania na podstawie istnienia przyszłego dochodu do opodatkowania.</t>
  </si>
  <si>
    <t>Aktywa i zobowiązania z tytułu odroczonego podatku dochodowego traktowane są w całości jako pozycje długoterminowe i nie podlegają dyskontowaniu. Podlegają one kompensacie na poziomie sprawozdań jednostkowych spółek z Grupy, jeżeli istnieje możliwy do wyegzekwowania tytuł prawny do przeprowadzenia kompensat ujmowanych kwot.</t>
  </si>
  <si>
    <t>Grupa ocenia na każdy dzień kończący okres sprawozdawczy realizowalność aktywa z tytułu odroczonego podatku dochodowego oraz weryfikuje nieujęte aktywa z tytułu odroczonego podatku dochodowego.</t>
  </si>
  <si>
    <t>Składka solidarnościowa przekazana przez JSW na rachunek Funduszu Wypłaty Różnicy Ceny wskazany przez zarządcę rozliczeń stanowi dla JSW koszt uzyskania przychodu w rozumieniu ustawy z dnia 15 lutego 1992 roku o podatku dochodowym od osób prawnych.</t>
  </si>
  <si>
    <t>5.1. PODATEK DOCHODOWY</t>
  </si>
  <si>
    <t>(12,7)</t>
  </si>
  <si>
    <t>5.2. ODROCZONY PODATEK DOCHODOWY</t>
  </si>
  <si>
    <t>Aktywa i zobowiązania z tytułu odroczonego podatku dochodowego podlegają kompensacie na poziomie sprawozdań finansowych poszczególnych spółek Grupy i w związku z tym w skonsolidowanym sprawozdaniu finansowym wykazuje się następujące kwoty:</t>
  </si>
  <si>
    <t>454,4</t>
  </si>
  <si>
    <t>Zwiększenie/(zmniejszenie) innych całkowitych dochodów</t>
  </si>
  <si>
    <t>271,0</t>
  </si>
  <si>
    <t>326,2</t>
  </si>
  <si>
    <t>55,2</t>
  </si>
  <si>
    <t>Zmiana stanu aktywa i zobowiązań z tytułu odroczonego podatku dochodowego przed kompensatą:</t>
  </si>
  <si>
    <t>2,6</t>
  </si>
  <si>
    <t>6. NOTY OBJAŚNIAJĄCE DOTYCZĄCE ZADŁUŻENIA ISTOTNE ZASADY RACHUNKOWOŚCI</t>
  </si>
  <si>
    <t>Kredyty, pożyczki</t>
  </si>
  <si>
    <t>W momencie początkowego ujęcia kredyty i pożyczki ujmuje się w wartości godziwej, pomniejszonej o poniesione koszty transakcyjne (w tym: prowizja aranżacyjna, prowizja od zaangażowania, gwarancja ubezpieczeniowa). Po początkowym ujęciu zobowiązania te są wykazywane według zamortyzowanego kosztu. Wszelkie różnice pomiędzy otrzymaną kwotą (pomniejszoną o koszty transakcyjne) a wartością wykupu ujmuje się metodą efektywnej stopy procentowej w skonsolidowanym sprawozdaniu z wyniku finansowego i innych całkowitych dochodów, przez okres obowiązywania odnośnych umów. Naliczone odsetki odnoszone są do kosztów finansowych, chyba że podlegają aktywowaniu w wartości rzeczowych aktywów trwałych. Kredyty i pożyczki w walucie obcej mogą być wyznaczone do rachunkowości zabezpieczeń (szczegóły w Nocie 9.5.1.).</t>
  </si>
  <si>
    <t>Z dniem rozpoczęcia umowy leasingu Grupa ujmuje składnik aktywów z tytułu prawa do użytkowania oraz zobowiązanie z tytułu leasingu. Zasady ujmowania prawa do użytkowania składnika aktywów przedstawiono w Nocie 7.3. Zobowiązania z tytułu leasingu wycenia się w momencie początkowego ujęcia w wartościach bieżących opłat leasingowych pozostających do zapłaty w dacie początkowego ujęcia, które obejmują:</t>
  </si>
  <si>
    <t>â–Ş stałe opłaty leasingowe,</t>
  </si>
  <si>
    <t>â–Ş zmienne opłaty leasingowe uzależnione od indeksów i stawek,</t>
  </si>
  <si>
    <t>â–Ş kwoty, których zapłaty przez leasingobiorcę oczekuje się w ramach gwarantowanej wartości końcowej przedmiotu leasingu,</t>
  </si>
  <si>
    <t>â–Ş cenę wykonania opcji kupna, jeżeli jest rozsądnie pewne, że leasingobiorca wykona opcję,</t>
  </si>
  <si>
    <t>â–Ş płatności kar umownych za wypowiedzenie leasingu jeżeli okres leasingu ustalono zakładając, że leasingobiorca wypowie umowę.</t>
  </si>
  <si>
    <t>Po dacie rozpoczęcia leasingu Grupa wycenia wartość bilansową zobowiązania z tytułu leasingu poprzez zwiększenie odsetek od zobowiązań z tytułu leasingu, zmniejszenia z tytułu zapłaconych opłat leasingowych oraz aktualizację z tytułu ponownej oceny lub modyfikacji umowy leasingu.</t>
  </si>
  <si>
    <t>Grupa w celu aktualizacji wyceny zobowiązania z tytułu leasingu, uwzględniając zmiany w opłatach leasingowych, uznaje kwotę aktualizacji wyceny zobowiązania jako korektę składnika aktywów z tytułu prawa do użytkowania.</t>
  </si>
  <si>
    <t>Aktualizacja wyceny zobowiązania z tytułu leasingu odbywa się poprzez dyskontowanie zaktualizowanych opłat leasingowych z zastosowaniem zaktualizowanej stopy dyskontowej jeżeli zaistnieje zmiana w odniesieniu do okresu leasingu oraz zaistnieje zmiana dotycząca oceny opcji kupna bazowego składnika aktywów. W przypadku zaistnienia zmian w kwocie, której zapłaty oczekuje się w ramach gwarantowanej wartości końcowej oraz zaistnienia zmian w przyszłych opłatach leasingowych wynikających ze zmiany w indeksie lub stawce stosowanej do ustalenia tych opłat, Grupa dokonuje aktualizacji wyceny zobowiązania z tytułu leasingu poprzez dyskontowanie zaktualizowanych opłat leasingowych z zastosowaniem dotychczasowej stopy dyskonta.</t>
  </si>
  <si>
    <t>Płatności leasingowe Grupa dyskontuje przy użyciu krańcowej stopy procentowej leasingobiorcy.</t>
  </si>
  <si>
    <t>Grupa korzysta z prawa zwolnienia ze stosowania wymogów wynikających z MSSF 16, które zostały szczegółowo opisane w Nocie 7.3.</t>
  </si>
  <si>
    <t>Ustalając okres leasingu Grupa uwzględnia wszystkie istotne fakty i okoliczności tworzące zachętę ekonomiczną do skorzystania z opcji przedłużenia umowy lub nieskorzystania z opcji zakończenia umowy. Okresy objęte opcją przedłużania umów lub okresem wypowiedzenia są uwzględnione przy ustalaniu okresu leasingu, jeżeli istnieje racjonalna pewność, że umowa zostanie przedłużona lub nie zostanie wypowiedziana. Ocena okresu leasingu jest przeprowadzana na dzień rozpoczęcia leasingu. Ponowna ocena jest dokonywana w przypadku wystąpienia znaczącego zdarzenia lub znaczącej zmiany w okolicznościach, które leasingobiorca kontroluje, wpływających na tę ocenę.</t>
  </si>
  <si>
    <t>W przypadku umów na czas nieokreślony, szacuje się najbardziej prawdopodobny okres użytkowania prawa do użytkowania aktywa, bądź też przyjmuje się okres żywotności danego Zakładu, w zależności od tego co lepiej odzwierciedla okres przez jaki jest rozsądnie pewne, że Grupa nie skorzysta z prawa wypowiedzenia.</t>
  </si>
  <si>
    <t>Dla potrzeb wyceny zobowiązania z tytułu leasingu i praw do użytkowania składnika aktywów, Grupa oszacowała krańcowe stopy procentowe oprocentowania długu, stosowane przy dyskontowaniu przyszłych przepływów pieniężnych. Dla ustalenia krańcowej stopy procentowej długu Grupa przyjęła, że stopa dyskonta powinna odzwierciedlać koszt finansowania, jakie byłoby zaciągnięte na zakup aktywa o wartości zbliżonej do wartości przedmiotu podlegającego leasingowi. W celu oszacowania wysokości stopy dyskonta Grupa wzięła pod uwagę następujące parametry umowy: rodzaj, długość trwania, walutę oraz potencjalną marżę, jaką musiałaby zapłacić na rzecz instytucji finansowych w celu uzyskania finansowania.</t>
  </si>
  <si>
    <t>1 294,0</t>
  </si>
  <si>
    <t>581,8</t>
  </si>
  <si>
    <t>1 875,8</t>
  </si>
  <si>
    <t>6.1. KREDYTY I POŻYCZKI</t>
  </si>
  <si>
    <t>65,3</t>
  </si>
  <si>
    <t>Grupa dysponuje następującymi niewykorzystanymi liniami kredytowymi:</t>
  </si>
  <si>
    <t>400,0</t>
  </si>
  <si>
    <t>Główne zobowiązania z tytułu kredytów i pożyczek po przeliczeniu na PLN przedstawia tabela poniżej.</t>
  </si>
  <si>
    <t>Kredyt/ pożyczka</t>
  </si>
  <si>
    <t>FINANSOWANIE UDZIELONE JSW</t>
  </si>
  <si>
    <t>UMOWY POŻYCZEK Z PFR, w tym:</t>
  </si>
  <si>
    <t>FINANSOWANIE UDZIELONE JSW KOKS</t>
  </si>
  <si>
    <t>574,5</t>
  </si>
  <si>
    <t>17.10.2018</t>
  </si>
  <si>
    <t>Dofinansowanie przedsięwzięcia â€žModernizacja baterii koksowniczej nr 4 w Koksowni Przyjaźń</t>
  </si>
  <si>
    <t>19.12.2018</t>
  </si>
  <si>
    <t>Realizacja projektu â€žPoprawa efektywności energetycznej w JSW KOKSâ€ť związanego z budową bloku energetycznego w Koksowni Radlin</t>
  </si>
  <si>
    <t>kwartalnie od czerwca 2024 roku</t>
  </si>
  <si>
    <t>POŻYCZKA PREFERENCYJNA Z WFOŚiGW</t>
  </si>
  <si>
    <t>12.08.2020</t>
  </si>
  <si>
    <t>Dofinansowanie przedsięwzięcia â€žBudowa bloku energetycznego w Koksowni Radlinâ€ť. Pożyczka została udzielona w ramach pomocy horyzontalnej na ochronę środowiska</t>
  </si>
  <si>
    <t>15.12.2030</t>
  </si>
  <si>
    <t>PLN 34,2</t>
  </si>
  <si>
    <t>34,2</t>
  </si>
  <si>
    <t>01.09.2021</t>
  </si>
  <si>
    <t>Dofinansowanie przedsięwzięcia â€žInstalacja KRAiC â€“ budowa II ciągu wraz z kolumną odkwaszająco-odpędową w Koksowni Radlinâ€ť</t>
  </si>
  <si>
    <t>kwartalnie od września 2023 roku</t>
  </si>
  <si>
    <t>13.12.2021</t>
  </si>
  <si>
    <t>Dofinansowanie w formie pożyczki preferencyjnej przedsięwzięcia â€žModernizacja baterii koksowniczej nr 4 w Koksowni Przyjaźńâ€ť</t>
  </si>
  <si>
    <t>30.09.2031</t>
  </si>
  <si>
    <t>PLN 70,0</t>
  </si>
  <si>
    <t>70,0</t>
  </si>
  <si>
    <t>01.03.2023</t>
  </si>
  <si>
    <t>11.08.2023</t>
  </si>
  <si>
    <t>1 418,2</t>
  </si>
  <si>
    <t>POŻYCZKI W RAMACH PROGRAMU RZĄDOWEGO â€žTARCZA FINANSOWA POLSKIEGO FUNDUSZU ROZWOJU DLA DUŻYCH FIRMâ€ť</t>
  </si>
  <si>
    <t>â–Ş redukcja emisji gazów cieplarnianych (w porównaniu z rokiem 2018) o 27% do roku 2026 i o 30% do roku 2030,</t>
  </si>
  <si>
    <t>â–Ş poziom ujęcia metanu &gt;=50% (do roku 2026),</t>
  </si>
  <si>
    <t>â–Ş poziom zagospodarowania ujętego metanu &gt;=95% (do roku 2026),</t>
  </si>
  <si>
    <t>Dnia 23 stycznia 2020 roku pomiędzy PBSz a Bankiem Gospodarstwa Krajowego (â€žBGKâ€ť) została zawarta umowa linii wielocelowej w wysokości 20,0 mln PLN. Zgodnie z podpisaną umową PBSz może korzystać z przyznanego limitu w formie:</t>
  </si>
  <si>
    <t>â–Ş kredytu otwartego w rachunku bieżącym do pełnej kwoty limitu,</t>
  </si>
  <si>
    <t>â–Ş gwarancji bankowych łącznie do maksymalnej kwoty zaangażowania do wysokości 5,0 mln PLN.</t>
  </si>
  <si>
    <t>Dnia 17 lutego 2020 roku pomiędzy PBSz a PKO BP S.A. została zawarta umowa udzielenia limitu kredytowego wielocelowego w wysokości 20,0 mln PLN. Zgodnie z podpisaną umową PBSz może korzystać z przyznanego limitu w formie:</t>
  </si>
  <si>
    <t>â–Ş kredytu w rachunku bieżącym do kwoty 15,0 mln PLN,</t>
  </si>
  <si>
    <t>â–Ş gwarancji bankowych łącznie do maksymalnej kwoty zaangażowania w wysokości 5,0 mln PLN.</t>
  </si>
  <si>
    <t>Pozostałe zabezpieczenia kredytów i pożyczek (dotyczące uruchomionych kredytów i pożyczek):</t>
  </si>
  <si>
    <t>â–Ş przelewy wierzytelności z umów/rachunków bankowych oraz rachunków lokat terminowych.</t>
  </si>
  <si>
    <t>W przypadku zabezpieczenia kredytów i pożyczek na aktywach trwałych dodatkowe zabezpieczenie stanowi cesja praw z umów ubezpieczenia tych aktywów. Ponadto stosowaną formą zabezpieczenia wierzytelności z tytułu zaciągniętych kredytów i pożyczek są weksle in blanco wraz z deklaracją wekslową.</t>
  </si>
  <si>
    <t>Grupa dokonała następujących transakcji odnośnie kredytów i pożyczek:</t>
  </si>
  <si>
    <t>* Zwrot niewykorzystanej transzy pożyczki</t>
  </si>
  <si>
    <t>6.2. ZOBOWIĄZANIA Z TYTUŁU LEASINGU</t>
  </si>
  <si>
    <t>Zobowiązania z tytułu leasingu ujęte w skonsolidowanym sprawozdaniu z sytuacji finansowej:</t>
  </si>
  <si>
    <t>640,3</t>
  </si>
  <si>
    <t>382,4</t>
  </si>
  <si>
    <t>Struktura walutowa zobowiązań z tytułu leasingu Grupy po przeliczeniu na PLN przedstawia się następująco:</t>
  </si>
  <si>
    <t>Grupa ujmuje w wycenie zobowiązania z tytułu leasingu zmienne opłaty leasingowe powiązane z referencyjnymi stopami procentowymi.</t>
  </si>
  <si>
    <t>6.3. UZGODNIENIE ZADŁUŻENIA</t>
  </si>
  <si>
    <t>â€’ spłata zobowiązania (kapitału)</t>
  </si>
  <si>
    <t>â€’ odsetki i prowizje zapłacone</t>
  </si>
  <si>
    <t>(30,3)</t>
  </si>
  <si>
    <t>â€’ zapłacone odsetki i prowizje stanowiące aktywowane koszty finansowania zewnętrznego</t>
  </si>
  <si>
    <t>23,3</t>
  </si>
  <si>
    <t>7. NOTY OBJAŚNIAJĄCE DO SKONSOLIDOWANEGO SPRAWOZDANIA Z SYTUACJI FINANSOWEJ</t>
  </si>
  <si>
    <t>7.1. RZECZOWE AKTYWA TRWAŁE ISTOTNE ZASADY RACHUNKOWOŚCI</t>
  </si>
  <si>
    <t>â–Ş budynki i budowle - w szczególności budowle dla górnictwa i kopalnictwa takie jak wyrobiska górnicze kapitalne pionowe i poziome,</t>
  </si>
  <si>
    <t>â–Ş urządzenia techniczne i maszyny - utrzymywane przez Grupę w celu wykorzystania ich w procesie produkcyjnym związanym z wydobyciem węgla, w szczególności maszyny górnicze jak obudowy zmechanizowane, kombajny ścianowe i chodnikowe, maszyny i urządzenia przeróbki mechanicznej węgla,</t>
  </si>
  <si>
    <t>Późniejsze nakłady uwzględnia się w wartości księgowej danego składnika rzeczowych aktywów trwałych lub ujmuje jako odrębny składnik rzeczowych aktywów trwałych (tam, gdzie jest to właściwe) tylko wówczas, gdy jest prawdopodobne, że z tytułu tej pozycji nastąpi wpływ korzyści ekonomicznych do Grupy, zaś koszt danej pozycji można wiarygodnie zmierzyć.</t>
  </si>
  <si>
    <t>Odpisów amortyzacyjnych Grupa dokonuje w zależności od wzorca konsumowania korzyści ekonomicznych z danego składnika rzeczowych aktywów trwałych:</t>
  </si>
  <si>
    <t>â–Ş metodą amortyzacji liniowej â€“ dla składników, które są wykorzystywane w procesie produkcji w równomiernym stopniu w całym ich okresie użytkowania (w celu rozłożenia ich wartości początkowych pomniejszonych o wartości końcowe, przez okresy ich użytkowania), oraz</t>
  </si>
  <si>
    <t>â–Ş metodą amortyzacji naturalnej â€“ dla składników, których rozliczenie następuje proporcjonalnie do ilości wydobytych ton węgla (dotyczy wyrobisk ruchowych i zbrojenia ścian).</t>
  </si>
  <si>
    <t>â–Ş Urządzenia techniczne i maszyny 1 - 88 lat,</t>
  </si>
  <si>
    <t>Przy oznaczaniu okresu użytkowania rzeczowych aktywów trwałych, tworzących stałą podziemną i naziemną infrastrukturę uwzględnia się żywotność zakładu górniczego. Dla rzeczowych aktywów trwałych, będących ruchomościami zakładu górniczego, przy określeniu okresu użytkowania uwzględnia się możliwość ich wykorzystania w innych zakładach górniczych JSW.</t>
  </si>
  <si>
    <t>Aktywa w leasingu wykazywane są w osobnej pozycji skonsolidowanego sprawozdania z sytuacji finansowej, co zostało zaprezentowane w Nocie 7.4.</t>
  </si>
  <si>
    <t>Wyrobiska górnicze związane z udostępnieniem wyrobisk eksploatacyjnych, tzw. wyrobiska ruchowe, na moment początkowego ujęcia wyceniane są w wysokości skumulowanych kosztów poniesionych na ich wytworzenie, pomniejszonych o wartość węgla wydobytego w trakcie ich realizacji, wycenionego według kosztu wytworzenia ustalonego narastająco od początku roku do końca miesiąca poprzedzającego rozliczenie. Grupa ujmuje w skonsolidowanym sprawozdaniu z wyniku finansowego i innych całkowitych dochodów, przychody ze sprzedaży węgla uzyskanego w trakcie drążenie wyrobisk ruchowych oraz powiązany z nimi koszt wytworzenia sprzedanych produktów. Aktywowane koszty drążenia wyrobisk ruchowych (będące rozliczeniami międzyokresowymi kosztów) są prezentowane w skonsolidowanym sprawozdaniu finansowym w oddzielnej pozycji rzeczowych aktywów trwałych. Rozliczenie nakładów na wyrobiska ruchowe proporcjonalnie do postępu wydobycia węgla z poszczególnych rejonów ścianowych jest prezentowane w wyniku finansowym jako amortyzacja. Jednostka dominująca w II półroczu każdego roku, analizuje wysokość aktywowanych kosztów na wyrobiska ruchowe pod kątem ich związku z przychodami, które będą realizowane w następnych okresach sprawozdawczych.</t>
  </si>
  <si>
    <t>Nakłady na zbrojenie ścian obejmują koszty zabudowy maszyn i urządzeń w przecince ścianowej, chodniku podścianowym oraz nadścianowym (np. koszty materiałów, energii, wynagrodzeń wraz z narzutami, pozostałych usług) niezbędnych do eksploatacji i transportu węgla ze ściany. Skumulowane nakłady na zbrojenie ścian Grupa ujmuje jako aktywa i prezentuje w skonsolidowanym sprawozdaniu finansowym w oddzielnej pozycji rzeczowych aktywów trwałych. Aktywowane nakłady na zbrojenie ścian są rozliczane proporcjonalnie do ilości wydobytych ton węgla ze zbrojonej ściany w stosunku do całości oszacowanych zasobów z danej ściany i prezentowane w wyniku finansowym jako amortyzacja.</t>
  </si>
  <si>
    <t>Grupa ocenia na każdy dzień kończący okres sprawozdawczy czy zaistniały obiektywne przesłanki mogące wskazywać na utratę wartości danego składnika rzeczowych aktywów trwałych. Testy na utratę wartości rzeczowych aktywów trwałych są przeprowadzane zgodnie z zasadami rachunkowości określonymi w Nocie 7.4.</t>
  </si>
  <si>
    <t>**** Pozycja obejmuje przeklasyfikowanie odpisu aktualizującego rzeczowe aktywa trwałe w budowie na odpis aktualizujący prawo do użytkowania składnika aktywów.</t>
  </si>
  <si>
    <t>17,2</t>
  </si>
  <si>
    <t>36,4</t>
  </si>
  <si>
    <t>Przesunięcia z inwestycji rozpoczętych</t>
  </si>
  <si>
    <t>69,1</t>
  </si>
  <si>
    <t>4 412,3</t>
  </si>
  <si>
    <t>2 525,6</t>
  </si>
  <si>
    <t>142,1</t>
  </si>
  <si>
    <t>1 589,7</t>
  </si>
  <si>
    <t>80,4</t>
  </si>
  <si>
    <t>9 506,7</t>
  </si>
  <si>
    <t>8 832,4</t>
  </si>
  <si>
    <t>590,3</t>
  </si>
  <si>
    <t>1 917,9</t>
  </si>
  <si>
    <t>22 696,3</t>
  </si>
  <si>
    <t>(11,3)</t>
  </si>
  <si>
    <t>(5 094,4)</t>
  </si>
  <si>
    <t>(6 306,8)</t>
  </si>
  <si>
    <t>(448,2)</t>
  </si>
  <si>
    <t>(328,2)</t>
  </si>
  <si>
    <t>(12 188,9)</t>
  </si>
  <si>
    <t>7.2. WARTOŚCI NIEMATERIALNE ISTOTNE ZASADY RACHUNKOWOŚCI</t>
  </si>
  <si>
    <t>Grupa posiada w szczególności następujące główne pozycje wartości niematerialnych:</t>
  </si>
  <si>
    <t>â–Ş prawa do emisji CO2,</t>
  </si>
  <si>
    <t>Świadectwa pochodzenia energii ujmowane jako wartości niematerialne wyceniane są początkowo według ceny nabycia.</t>
  </si>
  <si>
    <t>Wydatki na nabycie świadectw pochodzenia energii, ze względu na ich specyficzny charakter, zostały ujęte w skonsolidowanym sprawozdaniu z przepływów pieniężnych w przepływach pieniężnych z działalności operacyjnej.</t>
  </si>
  <si>
    <t>W wartościach niematerialnych Grupa prezentuje zakupione na rynku prawa do emisji CO2, które wyceniane są początkowo według ceny nabycia. Nabyte prawa do emisji nie podlegają amortyzacji, gdyż ich wartość rezydualna nie jest niższa niż cena nabycia. Prawa do emisji CO2 są poddawane analizie pod kątem utraty wartości. Na szacowaną w okresie sprawozdawczym emisję CO2 Grupa tworzy rozliczenia międzyokresowe kosztów (prezentowane jako zobowiązania finansowe w pozycji rozliczenia międzyokresowe bierne â€“ Nota 7.14.) w ciężar kosztów działalności operacyjnej (podatki i opłaty). Prawa do emisji CO2 otrzymywane nieodpłatnie ujmowane są według kosztu (zwykle zero) w ewidencji pozabilansowej.</t>
  </si>
  <si>
    <t>â–Ş Oprogramowanie komputerowe 1-28 lat,</t>
  </si>
  <si>
    <t>â–Ş Koszty prac rozwojowych 5-56 lat.</t>
  </si>
  <si>
    <t>Grupa ocenia na każdy dzień kończący okres sprawozdawczy czy zaistniały obiektywne przesłanki mogące wskazywać na utratę wartości powyższych składników wartości niematerialnych. Testy na utratę wartości dla wartości niematerialnych są przeprowadzane zgodnie z zasadami rachunkowości przedstawionymi w Nocie 7.4.</t>
  </si>
  <si>
    <t>Prawa do emisji CO2</t>
  </si>
  <si>
    <t>Oprogramo-wanie komputerowe</t>
  </si>
  <si>
    <t>Koszty prac rozwojowych</t>
  </si>
  <si>
    <t>42,2</t>
  </si>
  <si>
    <t>(7,9)</t>
  </si>
  <si>
    <t>8,3</t>
  </si>
  <si>
    <t>Przesunięcia z wartości niematerialnych w toku</t>
  </si>
  <si>
    <t>10,5</t>
  </si>
  <si>
    <t>104,6</t>
  </si>
  <si>
    <t>241,8</t>
  </si>
  <si>
    <t>(87,4)</t>
  </si>
  <si>
    <t>(4,0)</t>
  </si>
  <si>
    <t>(9,5)</t>
  </si>
  <si>
    <t>(125,8)</t>
  </si>
  <si>
    <t>Rozliczenie otrzymanych nieodpłatnie praw do emisji CO2 (w Mg) przedstawia poniższa tabela:</t>
  </si>
  <si>
    <t>7.3. PRAWO DO UŻYTKOWANIA SKŁADNIKA AKTYWÓW ISTOTNE ZASADY RACHUNKOWOŚCI</t>
  </si>
  <si>
    <t>Z dniem rozpoczęcia umowy leasingu Grupa ujmuje składnik aktywów z tytułu prawa do użytkowania oraz zobowiązanie z tytułu leasingu. Zasady dotyczące ujmowania zobowiązania z tytułu leasingu przedstawiono w Nocie 6.2.</t>
  </si>
  <si>
    <t>Grupa użytkuje w ramach leasingu głównie kombajny ścianowe i chodnikowe oraz maszyny górnicze, środki transportu oraz nieruchomości i prawo wieczystego użytkowania gruntów.</t>
  </si>
  <si>
    <t>Po dacie rozpoczęcia leasingu Grupa wycenia składnik aktywów z tytułu prawa do użytkowania według kosztu pomniejszonego o łączne odpisy amortyzacyjne (umorzenie) i łączne straty z tytułu utraty wartości oraz skorygowanego z tytułu jakiejkolwiek aktualizacji wyceny zobowiązania z tytułu leasingu poza odwracaniem dyskonta.</t>
  </si>
  <si>
    <t>Grupa określa stawki amortyzacji dla poszczególnych składników prawa do użytkowania aktywów. Prawo do użytkowania składnika aktywów amortyzuje się liniowo przez okres użytkowania aktywów nie dłuższy niż okres leasingu wynikający z zawartych umów. Stawki amortyzacyjne uzależnione są od okresu trwania umowy. W przypadku umów na czas nieokreślony okres amortyzacji ustala się na podstawie najbardziej prawdopodobnego okresu użytkowania składnika, bądź też przyjmuje za okres jego amortyzacji okres żywotności danego Zakładu JSW, w zależności od tego co lepiej odzwierciedla rozsądnie pewny okres przez jaki Grupa nie skorzysta z opcji wypowiedzenia umowy. Jeżeli Grupa ma wystarczającą pewność, że skorzysta z opcji kupna, składnik aktywów z tytułu prawa do użytkowania amortyzuje się przez okres użytkowania danego składnika aktywów.</t>
  </si>
  <si>
    <t>â–Ş Budynki i budowle 1 - 67 lat,</t>
  </si>
  <si>
    <t>â–Ş Urządzenia techniczne i maszyny 2 m-ce â€“ 25 lat,</t>
  </si>
  <si>
    <t>â–Ş Środki transportu 2 m-ce â€“ 20 lat,</t>
  </si>
  <si>
    <t>â–Ş Prawo wieczystego użytkowania gruntów 9 - 99 lat.</t>
  </si>
  <si>
    <t>Grupa nie ujmuje aktywów i zobowiązań z tytułu leasingu w przypadku ujmowania:</t>
  </si>
  <si>
    <t>W przypadku leasingu, gdzie Grupa jest leasingobiorcą, dla umów zawierających zarówno elementy leasingowe jak i elementy nieleasingowe, w przypadku braku możliwości ich wyodrębnienia, Grupa stosuje uproszczenie i ujmuje każdy element leasingowy i nieleasingowy jako pojedynczy element leasingowy.</t>
  </si>
  <si>
    <t>Grupa ocenia na każdy dzień kończący okres sprawozdawczy czy zaistniały obiektywne przesłanki mogące wskazywać na utratę wartości składników aktywów z tytułu prawa do użytkowania. Testy na utratę wartości są przeprowadzane zgodnie z zasadami rachunkowości przedstawionymi w Nocie 7.4.</t>
  </si>
  <si>
    <t>Inne zwiększenia</t>
  </si>
  <si>
    <t>Inne zmniejszenia</t>
  </si>
  <si>
    <t>(4,1)</t>
  </si>
  <si>
    <t>10,3</t>
  </si>
  <si>
    <t>320,8</t>
  </si>
  <si>
    <t>172,2</t>
  </si>
  <si>
    <t>533,8</t>
  </si>
  <si>
    <t>705,4</t>
  </si>
  <si>
    <t>33,7</t>
  </si>
  <si>
    <t>211,8</t>
  </si>
  <si>
    <t>977,1</t>
  </si>
  <si>
    <t>Umorzenie*</t>
  </si>
  <si>
    <t>(4,4)</t>
  </si>
  <si>
    <t>(384,6)</t>
  </si>
  <si>
    <t>(39,6)</t>
  </si>
  <si>
    <t>(443,3)</t>
  </si>
  <si>
    <t>196,9</t>
  </si>
  <si>
    <t>180,4</t>
  </si>
  <si>
    <t>34,3</t>
  </si>
  <si>
    <t>20,4</t>
  </si>
  <si>
    <t>19,5</t>
  </si>
  <si>
    <t>252,3</t>
  </si>
  <si>
    <t>7.4. UTRATA WARTOŚCI NIEFINANSOWYCH AKTYWÓW TRWAŁYCH ISTOTNE ZASADY RACHUNKOWOŚCI</t>
  </si>
  <si>
    <t>Grupa oceniając na każdy dzień kończący okres sprawozdawczy istnienie przesłanek mogących wskazywać na utratę wartości danego składnika niefinansowych aktywów trwałych weryfikuje czynniki zewnętrzne, jak i wewnętrzne.</t>
  </si>
  <si>
    <t>9,2</t>
  </si>
  <si>
    <t>57,0</t>
  </si>
  <si>
    <t>(66,7)</t>
  </si>
  <si>
    <t>SEGMENT WĘGLOWY</t>
  </si>
  <si>
    <t>W wyniku przeprowadzonej na dzień 31 grudnia 2023 roku analizy przesłanek, Jednostka dominująca nie przeprowadziła nowych testów na utratę wartości CGU.</t>
  </si>
  <si>
    <t>W 2023 roku ze względu na ujemną wartość NPV dla KWK Borynia-Zofiówka-Bzie Ruch Bzie w wysokości (1 285,1) mln PLN, a także zerową wartość odzyskiwalną wynikającą z obliczeń przeprowadzonych do testu na dzień 31 grudnia 2021 roku, przy jednoczesnym wzroście aktywów trwałych KWK Borynia-Zofiówka-Bzie Ruch Bzie i dokonanej kalkulacji majątku KWK Borynia-Zofiówka-Bzie Ruch Bzie z uwzględnieniem rezerw, zobowiązań długoterminowych i kapitału obrotowego, Grupa oceniła, jako zasadne, dokonanie odpisu aktualizującego majątek CGU â€“ KWK Borynia-Zofiówka-Bzie Ruch Bzie na kwotę 212,4 mln PLN.</t>
  </si>
  <si>
    <t>SEGMENT KOKSOWY</t>
  </si>
  <si>
    <t>W Segmencie koksowym przeprowadzono analizę przesłanek mogących świadczyć o utracie wartości księgowej majątku poszczególnych zakładów produkcyjnych. Na dzień 31 grudnia 2023 roku Grupa przeprowadziła analizę przesłanek w odniesieniu następujących CGU:</t>
  </si>
  <si>
    <t>â–Ş Koksownia Jadwiga, Koksownia Przyjaźń i Koksownia Radlin - traktowanych jako aktywa koksownicze, oraz</t>
  </si>
  <si>
    <t>â–Ş EC Radlin - w części obejmującej aktywa energetyczne - w związku z faktem, że EC Radlin zgodnie z planem inwestycyjnym uzyska możliwość niezależnego generowania niezależnych przepływów finansowych na rzecz podmiotów zewnętrznych oraz będzie posiadała możliwość zasilania gazem ziemnym z sieci miejskiej, została wyodrębniona jako osobny CGU.</t>
  </si>
  <si>
    <t>Aktywa koksownicze</t>
  </si>
  <si>
    <t>W toku przeprowadzonej na dzień 31 grudnia 2023 roku analizy, dla aktywów koksowniczych nie zidentyfikowano nowych przesłanek mogących wpływać na wartość posiadanych aktywów. Zidentyfikowane w poprzednich okresach przesłanki wynikające z przyjętej Strategii JSW S.A. z uwzględnieniem spółek zależnych Grupy Kapitałowej JSW na lata 2022-2030 (â€žStrategiaâ€ť), nadal pozostają aktualne, wobec czego:</t>
  </si>
  <si>
    <t>â–Ş zasadne jest utrzymanie dotychczasowych odpisów dla CGU Koksownia Radlin. Nie zidentyfikowano istotnych i długoterminowych przesłanek mogących wskazywać na odwrócenie wcześniej zawiązanych odpisów aktualizujących majątek CGU,</t>
  </si>
  <si>
    <t>â–Ş dla CGU Koksownia Jadwiga, zidentyfikowane w poprzednich okresach przesłanki utrzymują się i wobec najbardziej aktualnych prognoz dla szacowanej wartości odzyskiwalnej ustalonej jako wartość godziwa pomniejszona o koszty sprzedaży, ustalona przy zastosowaniu metody dochodowej w oparciu o oszacowane zdyskontowane przyszłe przepływy pieniężne, która dla CGU Koksowania Jadwiga na dzień 31 grudnia 2023 roku nadal pozostaje ujemna. Grupa oceniła, że w związku z wartością poniesionych nakładów inwestycyjnych na rzeczowe aktywa trwałe CGU Koksownia Jadwiga w 2023 roku zachodzi konieczność dokonania odpisu aktualizującego wartość tych nakładów na dzień 31 grudnia 2023 roku w wysokości 24,2 mln PLN,</t>
  </si>
  <si>
    <t>â–Ş Grupa oceniła także, iż z powodu stwierdzenia mniejszego stopnia uszkodzeń spowodowanych wybuchem na terenie Koksowni Przyjaźń w dniu 22 września 2022 roku w stosunku do pierwotnych założeń, które były obarczone dużym stopniem niepewności z uwagi na brak możliwości szczegółowej inwentaryzacji uszkodzeń, zasadne jest odwrócenie na dzień 31 grudnia 2023 roku, wcześniej zawiązanych odpisów aktualizujących aktywa trwałe CGU Koksownia Przyjaźń w wysokości 13,6 mln PLN.</t>
  </si>
  <si>
    <t>Aktywa energetyczne</t>
  </si>
  <si>
    <t>Na dzień 31 grudnia 2023 roku nie została ukończona inwestycja dotycząca budowy bloku energetycznego opalanego gazem koksowniczym w JSW KOKS - Koksownia Radlin (â€žEC Radlinâ€ť). Na dzień kończący okres sprawozdawczy zaawansowanie rzeczowe oceniane jest na 87% nakładów założonych dla tego zadania inwestycyjnego.</t>
  </si>
  <si>
    <t>Dla CGU EC Radlin zostały zidentyfikowane przesłanki, które wskazują na to, że mogła nastąpić utrata wartości składnika aktywów: brak zrealizowanego przyłącza ciepłowniczego, a przez to brak możliwości wyprowadzenia ciepła do odbiorców zewnętrznych, wydłużony termin zakończenia zadania inwestycyjnego, zwiększający się budżet zadania inwestycyjnego w stosunku do założeń.</t>
  </si>
  <si>
    <t>Test na utratę wartości został przeprowadzony w odniesieniu do CGU EC Radlin poprzez ustalenie wartości odzyskiwalnej, która została ustalona w oparciu o oszacowaną wartość godziwą pomniejszoną o koszty sprzedaży, przy zastosowaniu metody dochodowej, na bazie szacunku zdyskontowanych przepływów pieniężnych na podstawie projekcji finansowych przygotowanych na lata 2024-2049. Według oszacowań Zarządu wartość godziwa jest wyższa niż wartość użytkowa, stąd zgodnie z wymogami MSR 36 do ustalenia wartości odzyskiwalnej przyjęto wartość godziwą.</t>
  </si>
  <si>
    <t>Przyjęte założenia</t>
  </si>
  <si>
    <t>â–Ş rozpoczęcie pracy bloku energetycznego EC Radlin w 2024 roku,</t>
  </si>
  <si>
    <t>â–Ş rozpoczęcie sprzedaży ciepła do odbiorców zewnętrznych od sezonu grzewczego 2025/2026,</t>
  </si>
  <si>
    <t>â–Ş ceny energii elektrycznej według aktualnych prognoz na 2024 rok, ustalonych w oparciu o zakontraktowane ceny sprzedaży na rzecz podmiotów zewnętrznych,</t>
  </si>
  <si>
    <t>â–Ş ceny uprawnień do emisji CO2 według Strategii,</t>
  </si>
  <si>
    <t>â–Ş zakup gazu ziemnego od zewnętrznego dostawcy w okresie remontu potokowego baterii, a także wykorzystanie gazu koksowniczego z Koksowni Radlin w pozostałym okresie â€“ gaz koksowniczy wyceniony został w oparciu o ceny sprzedaży do zewnętrznych odbiorców zgodnie ze Strategią,</t>
  </si>
  <si>
    <t>â–Ş 25-letni okres użytkowania EC Radlin - w oparciu o wymagania określone na etapie postępowania przetargowego na wybór wykonawcy zadania, poparte wieloletnimi doświadczeniami z eksploatacji kotłów opalanych gazem koksowniczym, jak również standardami rynkowymi,</t>
  </si>
  <si>
    <t>â–Ş analizę utraty wartości przeprowadzono przy zastosowaniu średnioważonego kosztu kapitału własnego po opodatkowaniu (â€žWACCâ€ť) na poziomie 9,64%,</t>
  </si>
  <si>
    <t>Wyniki testu wykazały, iż wyodrębnione CGU EC Radlin generuje dodatnie przepływy pieniężne i w efekcie dokonanych obliczeń na dzień 31 grudnia 2023 roku ustalono wartość odzyskiwalną majątku EC Radlin na poziomie 408,5 mln PLN.</t>
  </si>
  <si>
    <t>W związku z powyższym, pomimo zidentyfikowanych przesłanek utraty wartości aktywów CGU EC Radlin, przeprowadzony test potwierdził zdolności tego CGU do generowania korzyści ekonomicznych w postaci dodatnich przepływów pieniężnych.</t>
  </si>
  <si>
    <t>Wartość godziwa CGU została w całości zaklasyfikowana do poziomu 3 hierarchii wartości godziwej (tj. wycena zawiera nieobserwowalne dane wejściowe).</t>
  </si>
  <si>
    <t>Wyniki analizy wrażliwości wykazały, że najistotniejszy wpływ na wartość odzyskiwalną testowanych aktywów mają przede wszystkim zmiany w zakresie poziomu cen energii elektrycznej, poziomu cen uprawnień do emisji CO2 oraz WACC. Zmiany tych parametrów, pomimo istotnego wpływu na wartość odzyskiwalną, pozwalają na wypracowanie przez CGU EC Radlin dodatnich przepływów pieniężnych.</t>
  </si>
  <si>
    <t>Poniżej zaprezentowano o ile zmieniłaby się wartość odzyskiwalna testowanych aktywów na dzień 31 grudnia 2023 roku w efekcie zmian kluczowych parametrów:</t>
  </si>
  <si>
    <t>Zmiana ceny energii elektrycznej w całym okresie prognozy</t>
  </si>
  <si>
    <t>Zmiana ceny uprawnień do emisji Co2</t>
  </si>
  <si>
    <t>Zmiana WACC</t>
  </si>
  <si>
    <t>1 p.p.</t>
  </si>
  <si>
    <t>-1 p.p.</t>
  </si>
  <si>
    <t>Zmiana wartości odzyskiwalnej</t>
  </si>
  <si>
    <t>(70,0)</t>
  </si>
  <si>
    <t>(55,5)</t>
  </si>
  <si>
    <t>39,7</t>
  </si>
  <si>
    <t>(39,7)</t>
  </si>
  <si>
    <t>16,0</t>
  </si>
  <si>
    <t>(13,6)</t>
  </si>
  <si>
    <t>Zmiana wysokości odpisu</t>
  </si>
  <si>
    <t>7.5. INWESTYCJE W PORTFEL AKTYWÓW FIZ ISTOTNE ZASADY RACHUNKOWOŚCI</t>
  </si>
  <si>
    <t>INWESTYCJE W PORTFEL AKTYWÓW FIZ</t>
  </si>
  <si>
    <t>Aktywa finansowe znajdujące się w portfelu inwestycji FIZ klasyfikowane są jako:</t>
  </si>
  <si>
    <t>â–Ş aktywa finansowe wyceniane w wartości godziwej przez wynik finansowy,</t>
  </si>
  <si>
    <t>â–Ş aktywa finansowe wyceniane według zamortyzowanego kosztu.</t>
  </si>
  <si>
    <t>Do aktywów finansowych wycenianych według zamortyzowanego kosztu zalicza się te aktywa, które spełniają test SPPI i utrzymywane są w celu ściągnięcia kwoty głównej i odsetek; są to głównie: środki pieniężne, depozyty bankowe oraz należności wynikające z bieżącej działalności.</t>
  </si>
  <si>
    <t>Grupa nie posiada w portfelu FIZ instrumentów dłużnych wycenianych w wartości godziwej przez inne całkowite dochody.</t>
  </si>
  <si>
    <t>Wszystkie pozostałe aktywa w portfelu FIZ są zaliczane do wycenianych w wartości godziwej przez wynik finansowy. Metody ustalania wartości godziwej aktywów FIZ są przedstawione w Nocie 9.2.</t>
  </si>
  <si>
    <t>W odniesieniu do aktywów finansowych wycenianych według zamortyzowanego kosztu przy zastosowaniu efektywnej stopy procentowej, odpisy z tytułu utraty wartości wylicza się przy zastosowaniu modelu oczekiwanych strat kredytowych.</t>
  </si>
  <si>
    <t>Przychody z tytułu odsetek oblicza się metodą efektywnej stopy procentowej i ujmuje w pozycji pozostałe zyski/(straty) - netto.</t>
  </si>
  <si>
    <t>Zysk lub stratę z wyceny inwestycji do wartości godziwej oraz z realizacji portfela FIZ ujmuje się w wyniku finansowym i prezentuje w pozycji pozostałe zyski/(straty) â€“ netto w okresie, w którym wystąpiły.</t>
  </si>
  <si>
    <t>Grupa prezentuje przepływy netto z inwestycji FIZ w przepływach pieniężnych z działalności inwestycyjnej. Wpływy i wydatki z tytułu transakcji Sell Buy Back (â€žSBBâ€ť) Grupa ujmuje w działalności inwestycyjnej z uwagi na fakt, iż transakcje te powiązane są z działalnością inwestycyjną Funduszu. Środki pieniężne pozyskane przez FIZ (w tym z transakcji SBB) nie mogą być wykorzystane na finansowanie bieżącej działalności Grupy, lecz wyłącznie na nabycie przez Fundusz aktywów finansowych w celu maksymalizacji zysku z tych inwestycji. Grupa prezentuje przepływy pieniężne dotyczące aktywów i zobowiązań Funduszu w wartościach netto dla każdej kategorii (tj. rozliczenie transakcji SBB, nabycie/zbycie dłużnych papierów wartościowych i listów zastawnych FIZ, nabycie/zbycie pozostałych aktywów i zobowiązań FIZ oraz wpłaty/wycofanie środków do Funduszu) z uwagi na dużą ilość powtarzających się transakcji w ciągu okresu sprawozdawczego. Uzgodnienie przepływów z inwestycji FIZ zostało zaprezentowane w dalszej części Noty.</t>
  </si>
  <si>
    <t>Jednym z istotnych działań, podjętych przez Jednostkę dominującą w zakresie przeciwdziałania potencjalnym zagrożeniom związanym z pogorszeniem płynności, było utworzenie Funduszu Inwestycyjnego Zamkniętego (â€žFIZâ€ť, â€žFunduszâ€ť).</t>
  </si>
  <si>
    <t>Fundusz stosuje konserwatywną politykę inwestycyjną. Wyłącznym przedmiotem jego działalności jest lokowanie środków pieniężnych zebranych w drodze niepublicznego proponowania nabycia certyfikatów inwestycyjnych w określone w statucie płynne aktywa o bardzo wysokim współczynniku bezpieczeństwa, w tym głównie: Obligacje Skarbu Państwa, inne skarbowe oraz bankowe instrumenty dłużne, dla których stosowny limit zaangażowania został ściśle określony w polityce inwestycyjnej Funduszu.</t>
  </si>
  <si>
    <t>Grupa inwestuje w portfel aktywów finansowych poprzez Fundusz, w którym Jednostka dominująca posiada 100% wyemitowanych certyfikatów inwestycyjnych. Fundusz może lokować aktywa w: dłużne papiery wartościowe, instrumenty rynku pieniężnego, waluty, instrumenty pochodne, w tym niewystandaryzowane instrumenty pochodne, pod warunkiem, że są zbywalne oraz depozyty w bankach.</t>
  </si>
  <si>
    <t>Podstawowym kryterium doboru lokat jest uzyskiwanie możliwie wysokiej stopy zwrotu przy jednoczesnym minimalizowaniu ryzyka kredytowego, ryzyka zmienności stóp procentowych i ryzyka ograniczonej płynności.</t>
  </si>
  <si>
    <t>4,8</t>
  </si>
  <si>
    <t>(78,7)</t>
  </si>
  <si>
    <t>- swap procentowy (IRS) w PLN zmieniający stopę stałą na zmienną, o łącznym nominale 489,0 mln PLN z datą zapadalności od lipca 2024 roku do lipca 2030 roku,</t>
  </si>
  <si>
    <t>- swap walutowo â€“ procentowy (CIRS) w EUR zmieniający stopę zmienną w EUR na stopę zmienną w PLN, o wartości nominalnej 1,0 mln EUR z datą zapadalności do września 2025 roku,</t>
  </si>
  <si>
    <t>- Fx Swap - transakcje zabezpieczające kwotę nominalną wraz z odsetkami obligacji oraz listów zastawnych denominowanych w walutach obcych o łącznym nominale 37,3 mln EUR z datą zapadalności do 21 stycznia 2024 roku i 50,3 mln USD z datą zapadalności do 20 lutego 2024 roku,</t>
  </si>
  <si>
    <t>- Fx Forward - transakcje zabezpieczające kwotę nominalną wraz z odsetkami obligacji oraz listów zastawnych denominowanych w walutach obcych o łącznym nominale 1,1 mln EUR i 7,2 mln USD z datą zapadalności od 5 marca 2024 roku.</t>
  </si>
  <si>
    <t>Natomiast transakcje pochodne zaprezentowane na dzień 31 grudnia 2023 roku jako zobowiązania, których łączna wartość godziwa wynosi 9,7 mln PLN to:</t>
  </si>
  <si>
    <t>- swap procentowy (IRS) w PLN o łącznym nominale 90,0 mln PLN z datą zapadalności od czerwca 2032 roku do stycznia 2033 roku.</t>
  </si>
  <si>
    <t>Strukturę walutową aktywów i zobowiązań Funduszu w przeliczeniu na PLN przedstawia poniższa tabela:</t>
  </si>
  <si>
    <t>Uzgodnienie przepływów netto z inwestycji FIZ w skonsolidowanym sprawozdaniu z przepływów pieniężnych:</t>
  </si>
  <si>
    <t>Aktywa finansowe notowane na aktywnym rynku wycenia się w wartości godziwej na podstawie cen z aktywnego rynku i zalicza się do poziomu 1 hierarchii wartości godziwej. Przeniesienia między poziomami hierarchii wartości godziwej zostały przedstawione w Nocie 9.2.</t>
  </si>
  <si>
    <t>Dla aktywów finansowych, dla których nie istnieje cena z aktywnego rynku, wartość godziwą ustala się przy zastosowaniu technik wyceny, gdzie wszystkie znaczące dane wejściowe są obserwowalne w sposób bezpośredni lub pośredni i zalicza się do poziomu 2 hierarchii wartości godziwej. Techniki wyceny wartości godziwej zostały opisane w Nocie 9.2.</t>
  </si>
  <si>
    <t>Ryzyko kredytowe</t>
  </si>
  <si>
    <t>W przypadku aktywów finansowych wycenianych według zamortyzowanego kosztu (tj. depozytów oraz środków pieniężnych i ich ekwiwalentów) Grupa klasyfikuje je do Stopnia 1 klasyfikacji pod kątem utraty ich wartości, ze względu na wysoką ocenę jakości kredytowej, a potencjalny odpis jest nieistotny, stąd nie został ujęty. Ujawnienia dotyczące oceny jakości kredytowej według zewnętrznych ratingów dla środków pieniężnych Funduszu przedstawiono w Nocie 9.5.1(d).</t>
  </si>
  <si>
    <t>Tabela nie uwzględnia zobowiązań Funduszu i z tego względu nie uzgadnia się do tabeli prezentującej strukturę portfela aktywów netto Funduszu na dzień kończący okres sprawozdawczy.</t>
  </si>
  <si>
    <t>Za znaczącą koncentrację ryzyka kredytowego uznano poziom 10% udziału danego emitenta w aktywach ogółem.</t>
  </si>
  <si>
    <t>Poniższa tabela przedstawia ujawnienia dotyczące jakości kredytowej dla aktywów finansowych Funduszu wycenianych w wartości godziwej przez wynik finansowy:</t>
  </si>
  <si>
    <t>Aktywa FIZ wyceniane w wartości godziwej</t>
  </si>
  <si>
    <t>Obligacje Skarbu Państwa</t>
  </si>
  <si>
    <t>Obligacje BGK</t>
  </si>
  <si>
    <t>7.6. POZOSTAŁE DŁUGOTERMINOWE AKTYWA FINANSOWE ISTOTNE ZASADY RACHUNKOWOŚCI</t>
  </si>
  <si>
    <t>Środki pieniężne i ich ekwiwalenty FLZG ze względu na ograniczone możliwości dysponowania, niezależnie od terminu zapadalności, są prezentowane w skonsolidowanym sprawozdaniu z sytuacji finansowej jako długoterminowe aktywa finansowe. Grupa wycenia te aktywa według zamortyzowanego kosztu przy zastosowaniu metody efektywnej stopy procentowej, z uwzględnieniem odpisów aktualizujących z tytułu oczekiwanych strat kredytowych.</t>
  </si>
  <si>
    <t>Należności finansowe</t>
  </si>
  <si>
    <t>Wszystkie długoterminowe aktywa finansowe wyrażone są w PLN.</t>
  </si>
  <si>
    <t>Wartość godziwa długoterminowych aktywów finansowych nie różni się istotnie od ich wartości księgowej.</t>
  </si>
  <si>
    <t>Środki pieniężne i ich ekwiwalenty Funduszu Likwidacji Zakładów Górniczych zostały zaklasyfikowane do Stopnia 1 klasyfikacji pod kątem utraty ich wartości, a ustalony odpis jest nieistotny kwotowo.</t>
  </si>
  <si>
    <t>Informacje na temat stopni oceny ryzyka kredytowego środków pieniężnych według ratingów zewnętrznych agencji przedstawiono w Nocie 9.5.1.</t>
  </si>
  <si>
    <t>7.7. ZAPASY ISTOTNE ZASADY RACHUNKOWOŚCI</t>
  </si>
  <si>
    <t>Zapas wyrobów gotowych obejmuje głównie zapas węgla i koksu wyprodukowanych w Grupie.</t>
  </si>
  <si>
    <t>Grupa dokonuje odpisów aktualizujących wartość zapasów wyrobów gotowych na skutek ich wyceny według ceny sprzedaży netto niższej od kosztu wytworzenia. Przy czym za koszt wytworzenia na koniec każdego okresu sprawozdawczego przyjmuje się średni koszt wytworzenia od początku roku do danego miesiąca sprawozdawczego. Za cenę sprzedaży netto przyjmuje się wartość wyliczoną według cen rynkowych możliwych do osiągnięcia.</t>
  </si>
  <si>
    <t>Odwrócenie odpisu</t>
  </si>
  <si>
    <t>103,7 26,6</t>
  </si>
  <si>
    <t>7.8. NALEŻNOŚCI HANDLOWE ORAZ POZOSTAŁE NALEŻNOŚCI ISTOTNE ZASADY RACHUNKOWOŚCI</t>
  </si>
  <si>
    <t>Należności handlowe początkowo ujmuje się w wartości transakcyjnej wynikającej z wystawionych faktur sprzedaży. Po początkowym ujęciu należności handlowe wycenia się według zamortyzowanego kosztu przy zastosowaniu efektywnej stopy procentowej z uwzględnieniem odpisów aktualizujących z tytułu oczekiwanych strat kredytowych. Należności handlowe z datą zapadalności poniżej 12 miesięcy od dnia powstania (tj. niezawierające elementu finansowania), nie podlegają dyskontowaniu i są wyceniane w wartości transakcyjnej. Pozostałe należności nie stanowiące aktywów finansowych na dzień kończący okres sprawozdawczy wycenia się w kwocie wymaganej zapłaty po uwzględnieniu odpisów aktualizujących z tytułu oczekiwanych strat kredytowych.</t>
  </si>
  <si>
    <t>Na każdy dzień kończący okres sprawozdawczy, Grupa dokonuje oszacowania i aktualizacji oczekiwanej straty kredytowej z tytułu składników aktywów finansowych wycenianych według zamortyzowanego kosztu. Najistotniejszą pozycją aktywów finansowych w skonsolidowanym sprawozdaniu finansowym Grupy, która podlega kalkulacji oczekiwanych strat kredytowych są należności handlowe.</t>
  </si>
  <si>
    <t>W odniesieniu do należności handlowych, które nie zawierają istotnego elementu finansowania, zastosowano uproszczone podejście i wycenę odpisu aktualizującego na bazie oczekiwanych strat kredytowych za cały okres życia instrumentu. Grupa zaklasyfikowała należności handlowe do Stopnia 2 klasyfikacji aktywów finansowych pod kątem ich utraty wartości przewidzianej przez MSSF 9, za wyjątkiem należności, dla których stwierdzono utratę wartości â€“ te należności zaliczono do Stopnia 3 ww. klasyfikacji. Grupa za moment utraty wartości uznaje moment przekazania należności do windykacji, jednak nie później niż w 90 dniu przeterminowania.</t>
  </si>
  <si>
    <t>Dla ustalenia odpisów aktualizujących z tytułu utraty wartości, Grupa wyodrębniła następujące grupy należności handlowych ustalone na bazie podobieństwa charakterystyki ryzyka kredytowego:</t>
  </si>
  <si>
    <t>â–Ş należności handlowe węglowo-koksowe od pozostałych kontrahentów o udziale w przychodach ze sprzedaży poniżej 2,5% za dany okres sprawozdawczy. Analizę należności handlowych węglowo-koksowych od pozostałych kontrahentów przeprowadzono na podstawie wyliczonego średnioważonego prawdopodobieństwa niewypłacalności dla portfela i obliczono oczekiwaną stratę dla tego portfela w oparciu o te prawdopodobieństwo, średni termin wymagalności oraz w oparciu o oczekiwaną stopę odzysku.</t>
  </si>
  <si>
    <t>â–Ş należności handlowe pozostałe â€“ dla należności handlowych pozostałych (za wyjątkiem tych, które są analizowane indywidualnie jako nieobsługiwane), przeprowadzono analizę portfelową i zastosowano uproszczoną matrycę odpisów w poszczególnych przedziałach wiekowych na podstawie oczekiwanych strat kredytowych w całym okresie życia należności w oparciu o wskaźnik niewypełnienia zobowiązania ustalony na podstawie danych historycznych (za okres poprzednich trzech lat).</t>
  </si>
  <si>
    <t>â€’ w tym należności z tytułu wyceny kontraktów długoterminowych</t>
  </si>
  <si>
    <t>Należności z tytułu podatków i ubezpieczeń społecznych</t>
  </si>
  <si>
    <t>NALEŻNOŚCI HANDLOWE ORAZ POZOSTAŁE NALEŻNOŚCI RAZEM</t>
  </si>
  <si>
    <t>1 798,4</t>
  </si>
  <si>
    <t>Grupa narażona jest na ryzyko kredytowe wynikające z należności handlowych. Zarządzanie ryzykiem kredytowym (w tym koncentrację ryzyka kredytowego) przedstawiono w Nocie 9.5.1.</t>
  </si>
  <si>
    <t>Struktura walutowa należności handlowych Grupy po przeliczeniu na PLN przedstawia się następująco:</t>
  </si>
  <si>
    <t>Odpis ustalany indywidualnie z wykorzystaniem ratingów zewnętrznych</t>
  </si>
  <si>
    <t>Odpis ustalono w oparciu o średnioważony wskaźnik niewypełnienia zobowiązania</t>
  </si>
  <si>
    <t>7.9. ŚRODKI PIENIĘŻNE I ICH EKWIWALENTY ISTOTNE ZASADY RACHUNKOWOŚCI</t>
  </si>
  <si>
    <t>Środki pieniężne i ich ekwiwalenty obejmują środki pieniężne w kasie i na rachunkach bankowych, depozyty bankowe płatne na żądanie, inne krótkoterminowe inwestycje o wysokim stopniu płynności i o pierwotnym terminie wymagalności do trzech miesięcy.</t>
  </si>
  <si>
    <t>Kredyty w rachunku bieżącym są prezentowane w skonsolidowanym sprawozdaniu z przepływów pieniężnych jako składnik przepływów z działalności finansowej.</t>
  </si>
  <si>
    <t>Grupa wycenia środki pieniężne i ich ekwiwalenty według zamortyzowanego kosztu, z uwzględnieniem odpisów aktualizujących z tytułu oczekiwanych strat kredytowych.</t>
  </si>
  <si>
    <t>Grupa przeprowadza szacunek odpisów aktualizujących wartość środków pieniężnych i ich ekwiwalentów w oparciu o prawdopodobieństwo niewypłacalności ustalone na podstawie zewnętrznych ratingów banków, w których utrzymywane są środki pieniężne oraz publicznie dostępnych informacji agencji ratingowych dotyczących prawdopodobieństwa niewypłacalności i oblicza oczekiwaną stratę w oparciu o te prawdopodobieństwa, horyzont ekspozycji na ryzyko kredytowe oraz w oparciu o oczekiwaną stopę odzysku.</t>
  </si>
  <si>
    <t>Struktura walutowa środków pieniężnych i ich ekwiwalentów Grupy po przeliczeniu na PLN przedstawia się następująco:</t>
  </si>
  <si>
    <t>CZK</t>
  </si>
  <si>
    <t>Składniki środków pieniężnych i ich ekwiwalentów w skonsolidowanym sprawozdaniu z przepływów pieniężnych i skonsolidowanym sprawozdaniu z sytuacji finansowej są tożsame.</t>
  </si>
  <si>
    <t>7.10. KAPITAŁ WŁASNY ISTOTNE ZASADY RACHUNKOWOŚCI</t>
  </si>
  <si>
    <t>Akcje zwykłe zalicza się do kapitału podstawowego. Kapitał podstawowy ujmuje się w wysokości określonej w statucie i wpisanej w rejestrze sądowym Jednostki dominującej z uwzględnieniem korekty z tytułu hiperinflacji.</t>
  </si>
  <si>
    <t>NADWYŻKA WARTOŚCI EMISYJNEJ AKCJI NAD ICH WAROŚCIĄ NOMINALNĄ</t>
  </si>
  <si>
    <t>Kapitał z tytułu wyceny instrumentów finansowych obejmuje wycenę instrumentów zabezpieczających przyszłe przepływy pieniężna spełniających kryteria rachunkowości zabezpieczeń przepływów pieniężnych (Nota 9.4) po pomniejszeniu o efekt podatku odroczonego.</t>
  </si>
  <si>
    <t>Płatności dywidend na rzecz akcjonariuszy ujmuje się jako zobowiązanie w skonsolidowanym sprawozdaniu finansowym Grupy w okresie, w którym nastąpiło ich zatwierdzenie przez akcjonariuszy. Wskaźnik dywidendy na akcję wylicza się jako iloraz dywidendy przypadającej na akcjonariuszy Jednostki dominującej oraz liczby akcji zwykłych na dzień dywidendy.</t>
  </si>
  <si>
    <t>7.10.1. KAPITAŁ PODSTAWOWY</t>
  </si>
  <si>
    <t>Liczba głosów na Walnym Zgromadzeniu</t>
  </si>
  <si>
    <t>7.10.2. ZYSKI ZATRZYMANE</t>
  </si>
  <si>
    <t>Kapitał zapasowy został utworzony głównie z odpisów z zysku wygenerowanego przez JSW w poprzednich okresach sprawozdawczych. Ponadto, zgodnie z wymogami Kodeksu Spółek Handlowych, spółki akcyjne są obowiązane utworzyć kapitał zapasowy na pokrycie straty. O użyciu kapitału zapasowego rozstrzyga Walne Zgromadzenie JSW, jednakże części kapitału zapasowego w wysokości jednej trzeciej kapitału zakładowego można użyć jedynie na pokrycie straty wykazanej w jednostkowym sprawozdaniu finansowym i nie podlega ona podziałowi na inne cele.</t>
  </si>
  <si>
    <t>7.10.3. UDZIAŁY NIEKONTROLUJĄCE</t>
  </si>
  <si>
    <t>Poniższa tabela przedstawia szczegóły na temat jednostek zależnych w Grupie, które mają udziały niekontrolujące:</t>
  </si>
  <si>
    <t>Poniższa tabela zawiera wybrane dane finansowe kluczowych jednostek Grupy, posiadające udziały niekontrolujące:</t>
  </si>
  <si>
    <t>7.10.4. DYWIDENDY WYPŁACONE I ZAPROPONOWANE DO WYPŁATY</t>
  </si>
  <si>
    <t>7.11. ZOBOWIĄZANIA Z TYTUŁU ŚWIADCZEŁ PRACOWNICZYCH ISTOTNE ZASADY RACHUNKOWOŚCI</t>
  </si>
  <si>
    <t>Zgodnie z przepisami prawa pracy, Grupa realizuje wypłaty świadczeń pracowniczych z następujących głównych tytułów:</t>
  </si>
  <si>
    <t>â–Ş świadczenia po okresie zatrudnienia: odprawy emerytalne i rentowe, renty wyrównawcze, odpis na ZFŚS dla emerytów i rencistów, odprawy pośmiertne,</t>
  </si>
  <si>
    <t>Grupa ujmuje w skonsolidowanym sprawozdaniu z sytuacji finansowej zobowiązanie z tytułu wypłaty powyższych świadczeń w wysokości wartości bieżącej zobowiązania na dzień kończący okres sprawozdawczy, z uwzględnieniem zysków i strat aktuarialnych.</t>
  </si>
  <si>
    <t>Wysokość zobowiązania z tytułu świadczeń po okresie zatrudnienia w formie programów określonych świadczeń (odprawy emerytalne i rentowe, renty wyrównawcze, odpis na ZFŚS dla emerytów i rencistów, odprawy pośmiertne) oraz nagród jubileuszowych wyliczana jest przez niezależną firmę doradztwa aktuarialnego metodą prognozowanych świadczeń jednostkowych, do czasu ustania tego zobowiązania.</t>
  </si>
  <si>
    <t>Zobowiązania z tytułu świadczeń pracowniczych obliczane są metodą indywidualną, dla każdego pracownika osobno. Podstawą do obliczenia zobowiązania dla pracownika jest przewidywana kwota danego świadczenia, jaką Grupa zobowiązuje się wypłacić na podstawie wewnętrznych regulacji oraz odpowiednich przepisów prawa. Obliczona kwota jest dyskontowana aktuarialnie na dzień kończący okres sprawozdawczy, a następnie pomniejszana o zdyskontowane aktuarialnie na ten sam dzień kwoty rocznych odpisów na rezerwę, jakich Grupa dokonuje na powiększenie rezerwy danego pracownika. Dyskonto aktuarialne oznacza iloczyn dyskonta finansowego i prawdopodobieństwa dotrwania danego pracownika jako pracownika Grupy do momentu otrzymania świadczenia.</t>
  </si>
  <si>
    <t>Programy określonych świadczeń narażają Grupę na ryzyko aktuarialne obejmujące:</t>
  </si>
  <si>
    <t>Zyski/(straty) aktuarialne z wyceny określonych świadczeń po okresie zatrudnienia ujmuje się jak inne całkowite dochody.</t>
  </si>
  <si>
    <t>Natomiast zyski/(straty) aktuarialne z wyceny pozostałych świadczeń (nagrody jubileuszowe) ujmuje się jako koszty operacyjne. Odsetki netto od zobowiązań netto wynikające ze zmiany wartości rezerwy z tytułu upływu czasu ujmuje się jako koszty finansowe.</t>
  </si>
  <si>
    <t>ZOBOWIĄZANIA Z TYTUŁU ŚWIADCZEŁ PRACOWNICZYCH UJĘTE W SKONSOLIDOWANYM SPRAWOZDANIU Z SYTUACJI FINANSOWEJ Z TYTUŁU:</t>
  </si>
  <si>
    <t>KOSZTY ŚWIADCZEŁ PRACOWNICZYCH UJĘTE W SKONSOLIDOWANYM SPRAWOZDANIU Z WYNIKU FINANSOWEGO I INNYCH CAŁKOWITYCH DOCHODÓW</t>
  </si>
  <si>
    <t>Łączna kwota kosztów świadczeń pracowniczych ujętych w skonsolidowanym sprawozdaniu z wyniku finansowego i innych całkowitych dochodów:</t>
  </si>
  <si>
    <t>Główne założenia aktuarialne przyjęte na dni kończące okresy sprawozdawcze:*</t>
  </si>
  <si>
    <t>W powyższych analizach wrażliwości wartość bieżąca zobowiązania z tytułu określonych świadczeń pracowniczych została obliczona metodą prognozowanych świadczeń jednostkowych, czyli taką samą jak zastosowano przy obliczeniu zobowiązania z tytułu świadczeń pracowniczych ujętego w skonsolidowanym sprawozdaniu z sytuacji finansowej.</t>
  </si>
  <si>
    <t>7.12. REZERWY ISTOTNE ZASADY RACHUNKOWOŚCI</t>
  </si>
  <si>
    <t>Grupa tworzy rezerwy w szczególności z następujących tytułów:</t>
  </si>
  <si>
    <t>â–Ş zabezpieczeniem lub likwidacją wyrobisk górniczych oraz urządzeń, instalacji i obiektów zakładu górniczego;</t>
  </si>
  <si>
    <t>â–Ş przedsięwzięciem niezbędnych środków chroniących sąsiednie złoża kopalin;</t>
  </si>
  <si>
    <t>â–Ş przedsięwzięciem niezbędnych środków chroniących wyrobiska sąsiednich zakładów górniczych;</t>
  </si>
  <si>
    <t>Grupa tworzy rezerwę na likwidację szkód górniczych, wyłącznie dla ujawnionych szkód górniczych, będących skutkiem działalności eksploatacyjnej kopalń należących do Grupy, w wysokości wynikającej ze zgłoszonych, uznanych lub będących przedmiotem rozpatrzenia przez sądy udokumentowanych roszczeń z tego tytułu lub w wysokości nakładów przewidzianych na zabezpieczenie terenu przed skutkami działalności górniczej. W związku z brakiem metody ustalenia wiarygodnych szacunków, w wartości rezerwy na szkody górnicze nie ujmuje się tych szkód górniczych, które powstaną w przyszłości. Grupa ujawnia te zobowiązania jako zobowiązania warunkowe.</t>
  </si>
  <si>
    <t>Wartość rezerwy na likwidację szkód górniczych wylicza się w oparciu o wiarygodny szacunek kosztów napraw obiektów, budowli i odszkodowań będących następstwem wpływów dokonanej eksploatacji górniczej lub też dokonywanych przez Grupę zabezpieczeń terenu przed skutkami działalności górniczej na terenach objętych koncesjami. Momentem początkowym ujęcia rezerwy są stwierdzone na powierzchni wpływy eksploatacji górniczej wynikające z realizacji planów ruchu kopalni. Rezerwa ta prezentowana jest w wartości bieżącej nakładów niezbędnych do wypełnienia zobowiązania.</t>
  </si>
  <si>
    <t>Rezerwa na ochronę środowiska ujmowana jest wówczas, gdy w wyniku przeszłych zdarzeń spoczywa na Grupie aktualne, prawne lub zwyczajowe zobowiązanie wydatkowania środków pieniężnych i możliwe jest wiarygodne oszacowanie tego zobowiązania. Wielkość rezerwy jest ustalana poprzez zdyskontowanie prognozowanych przyszłych przepływów pieniężnych do wartości bieżącej, przy zastosowaniu stopy dyskontowej odzwierciedlającej aktualne oceny rynkowe wartości pieniądza w czasie oraz ewentualnego ryzyka związanego z danym zobowiązaniem.</t>
  </si>
  <si>
    <t>Rezerwę na podatek od nieruchomości, na roszczenia prawne, naprawy gwarancyjne i inne, ujmuje się wówczas, gdy Grupa ma prawny lub zwyczajowy obowiązek wynikający ze zdarzeń przeszłych i jest prawdopodobne, że będzie wymagany wypływ zasobów w celu wywiązania się z tego obowiązku, zaś jego wielkość wiarygodnie oszacowano. Nie tworzy się rezerw na przyszłe straty operacyjne.</t>
  </si>
  <si>
    <t>Grupa zakłada 18 miesięczny okres likwidacji kopalń. Przyjęcie takiego założenia wymaga aby, na dzień otwarcia likwidacji kopalnie były w pełni przygotowane do procesu likwidacji w zakresie planów robót likwidacyjnych, przygotowania niezbędnych analiz i ekspertyz, aby posiadały pełną dostępność środków na finansowanie kosztów likwidacji i utrzymania zakładu górniczego w okresie likwidacji oraz posiadały pełną dostępność siły roboczej do przeprowadzenia likwidacji.</t>
  </si>
  <si>
    <t>a) Założenia odnośnie do okresu żywotności kopalń:</t>
  </si>
  <si>
    <t>- Ruch Borynia do 31.12.2051 do 31.12.2051</t>
  </si>
  <si>
    <t>- Ruch Zofiówka do 31.12.2051 do 31.12.2051</t>
  </si>
  <si>
    <t>Zakład Górniczy KWK Budryk do 31.12.2077 do 31.12.2077</t>
  </si>
  <si>
    <t>Zakład Górniczy KWK Pniówek do 31.12.2081 do 31.12.2081</t>
  </si>
  <si>
    <t>- Ruch Knurów do 31.12.2072 do 31.12.2072</t>
  </si>
  <si>
    <t>- Ruch Szczygłowice do 31.12.2078 do 31.12.2078</t>
  </si>
  <si>
    <t>Powyższe prognozy żywotności kopalń sporządzone zostały przy założeniu pełnego sczerpania udokumentowanych zasobów węgla w czynnych kopalniach JSW, niezależnie od efektów gospodarczych. Założenie to obejmuje realizację przyszłych inwestycji, związanych z budową nowych poziomów wydobywczych lub udostępnieniem i zagospodarowaniem nowych złóż oraz rejonów i partii nieudostępnionych w kopalniach JSW. Jeżeli z uwagi na uwarunkowania rynkowe nie będzie możliwości finansowych realizacji inwestycji związanych z pełnym udostępnieniem udokumentowanych zasobów lub też eksploatacja niektórych zasobów okaże się nierentowna to okresy żywotności poszczególnych kopalń mogą ulec skróceniu.</t>
  </si>
  <si>
    <t>b) Inne istotne założenia odnośnie kalkulacji rezerwy na likwidację zakładu górniczego:</t>
  </si>
  <si>
    <t>Stopa inflacji w 2024 roku 4,60%</t>
  </si>
  <si>
    <t>Stopa inflacji w 2025 roku 3,70%</t>
  </si>
  <si>
    <t>Stopa inflacji w 2026 roku 3,50%</t>
  </si>
  <si>
    <t>Stopa dyskonta od 2024 roku do 2033 roku 5,22%</t>
  </si>
  <si>
    <t>Stopa dyskonta od 2034 roku 3,50%</t>
  </si>
  <si>
    <t>7.13. ZOBOWIĄZANIA HANDLOWE ORAZ POZOSTAŁE ZOBOWIĄZANIA ISTOTNE ZASADY RACHUNKOWOŚCI</t>
  </si>
  <si>
    <t>Dotacji nie ujmuje się do chwili uzyskania uzasadnionej pewności, że Grupa spełni konieczne warunki i otrzyma takie dotacje.</t>
  </si>
  <si>
    <t>Dotacje, których zasadniczym warunkiem jest nabycie lub wytworzenie przez Grupę aktywów trwałych, ujmuje się w skonsolidowanym sprawozdaniu z sytuacji finansowej w pozycji rozliczenia międzyokresowe przychodów i odnosi w wynik finansowy systematycznie przez przewidywany okres użytkowania ekonomicznego tych aktywów.</t>
  </si>
  <si>
    <t>Dotacje należne jako rekompensata kosztów lub strat już poniesionych lub jako forma bezpośredniego wsparcia finansowego dla Grupy bez ponoszenia przyszłych kosztów, ujmowane są w wyniku finansowym w okresie, w którym są należne.</t>
  </si>
  <si>
    <t>Naliczanie odsetek hipotetycznych wynikających z art. 5 Ustawy z dnia 8 marca 2013 roku o przeciwdziałaniu nadmiernym opóźnieniom w transakcjach handlowych, z późniejszymi zmianami następuje nie rzadziej, niż na koniec każdego kwartału.</t>
  </si>
  <si>
    <t>8. NOTY OBJAŚNIAJĄCE DO SKONSOLIDOWANEGO SPRAWOZDANIA Z PRZEPŁYWÓW PIENIĘŻNYCH ISTOTNE ZASADY RACHUNKOWOŚCI</t>
  </si>
  <si>
    <t>Skonsolidowane sprawozdanie z przepływów pieniężnych sporządzane jest metodą pośrednią.</t>
  </si>
  <si>
    <t>8.1. WPŁYWY PIENIĘŻNE Z DZIAŁALNOŚCI OPERACYJNEJ</t>
  </si>
  <si>
    <t>Uzgodnienie zmiany stanu zobowiązań z tytułu świadczeń pracowniczych w skonsolidowanym sprawozdaniu z przepływów pieniężnych:</t>
  </si>
  <si>
    <t>Zmiana stanu zobowiązań z tytułu świadczeń pracowniczych ze skonsolidowanego sprawozdania z sytuacji finansowej</t>
  </si>
  <si>
    <t>Uzgodnienie zmiany stanu rezerw w skonsolidowanym sprawozdaniu z przepływów pieniężnych:</t>
  </si>
  <si>
    <t>Zmiana stanu rezerw ze skonsolidowanego sprawozdania z sytuacji finansowej</t>
  </si>
  <si>
    <t>Aktualizacja rezerwy na likwidację zakładu górniczego</t>
  </si>
  <si>
    <t>Uzgodnienie zmiany stanu należności handlowych oraz pozostałych należności w skonsolidowanym sprawozdaniu z przepływów pieniężnych:</t>
  </si>
  <si>
    <t>Zmiana stanu należności handlowych oraz pozostałych należności ze skonsolidowanego sprawozdania z sytuacji finansowej</t>
  </si>
  <si>
    <t>162,0</t>
  </si>
  <si>
    <t>Uzgodnienie zmiany stanu pochodnych instrumentów finansowych w skonsolidowanym sprawozdaniu z przepływów pieniężnych:</t>
  </si>
  <si>
    <t>Zmiana stanu pochodnych instrumentów finansowych ze skonsolidowanego sprawozdania z sytuacji finansowej</t>
  </si>
  <si>
    <t>9. NOTY OBJAŚNIAJĄCE DO INSTRUMENTÓW FINANSOWYCH ISTOTNE ZASADY RACHUNKOWOŚCI</t>
  </si>
  <si>
    <t>Grupa posiada następujące kategorie instrumentów finansowych:</t>
  </si>
  <si>
    <t>â–Ş instrumenty wyceniane w zamortyzowanym koszcie</t>
  </si>
  <si>
    <t>â–Ş instrumenty wyceniane w wartości godziwej przez wynik finansowy</t>
  </si>
  <si>
    <t>â–Ş instrumenty zabezpieczające (opis zasad rachunkowości dotyczących zabezpieczeń przedstawiono w Nocie 9.4).</t>
  </si>
  <si>
    <t>â–Ş Grupa jako aktywa wyceniane w zamortyzowanym koszcie klasyfikuje głównie: należności handlowe i należności FIZ, lokaty bankowe, środki pieniężne i ich ekwiwalenty.</t>
  </si>
  <si>
    <t>â–Ş Grupa jako zobowiązania finansowe wyceniane w zamortyzowanym koszcie klasyfikuje głównie: zobowiązanie handlowe oraz pozostałe zobowiązania o charakterze finansowym, zobowiązania FIZ, kredyty i pożyczki.</t>
  </si>
  <si>
    <t>â–Ş Grupa klasyfikuje do aktywów wycenianych w wartości godziwej przez wynik finansowy: instrumenty pochodne niewyznaczone dla celów rachunkowości zabezpieczeń, udziały i akcje w jednostkach pozostałych, inwestycje w portfel aktywów FIZ (listy zastawne, dłużne papiery wartościowe, instrumenty pochodne).</t>
  </si>
  <si>
    <t>â–Ş Do zobowiązań wycenianych w wartości godziwej przez wynik finansowy Grupa klasyfikuje zobowiązania z tytułu instrumentów pochodnych niewyznaczonych dla celów rachunkowości zabezpieczeń.</t>
  </si>
  <si>
    <t>Wartość godziwą instrumentów finansowych, dla których nie istnieje aktywny rynek ustala się wykorzystując odpowiednie techniki wyceny. Przy doborze odpowiednich metod i założeń do wyceny Grupa kieruje się profesjonalnym osądem. Dane wejściowe do stosowanych metod wyceny stanowią obszar istotnych szacunków. Metody ustalania wartości godziwej są przedstawione w Nocie 9.2.</t>
  </si>
  <si>
    <t>9.1. KATEGORIE I KLASY INSTRUMENTÓW FINANSOWYCH</t>
  </si>
  <si>
    <t>* Pozycja obejmuje również środki zgromadzone w celu finansowania likwidacji zakładu górniczego (Środki pieniężne i ich ekwiwalenty FLZG) - Nota 7.6.</t>
  </si>
  <si>
    <t>Należności FIZ</t>
  </si>
  <si>
    <t>Listy zastawne</t>
  </si>
  <si>
    <t>Dłużne papiery wartościowe</t>
  </si>
  <si>
    <t>Środki pieniężne i ich ekwiwalenty FIZ</t>
  </si>
  <si>
    <t>Udziały w innych jednostkach</t>
  </si>
  <si>
    <t>Długoterminowe należności finansowe</t>
  </si>
  <si>
    <t>Instrumenty pochodne FIZ</t>
  </si>
  <si>
    <t>Zobowiązania z tytułu transakcji przy zobowiązaniu się Funduszu do odkupu (transakcje Sell Buy Back)</t>
  </si>
  <si>
    <t>Pozostałe zobowiązania FIZ</t>
  </si>
  <si>
    <t>9.2. HIERARCHIA WARTOŚCI GODZIWEJ ISTOTNE ZASADY RACHUNKOWOŚCI</t>
  </si>
  <si>
    <t>W oparciu o stosowane metody ustalania wartości godziwej, poszczególne składniki aktywów i zobowiązań finansowych Grupa klasyfikuje do następujących poziomów (tzw. hierarchia wartości godziwej):</t>
  </si>
  <si>
    <t>Wartość godziwą dłużnych papierów wartościowych notowanych na aktywnym rynku określa się na podstawie dostępnych cen z rynku aktywnego (w szczególności w przypadku polskich obligacji skarbowych - Treasury Bond Spot Poland) i prezentuje się w ramach Poziomu 1.</t>
  </si>
  <si>
    <t>Wartość godziwą instrumentów finansowych niestanowiących przedmiotu obrotu na aktywnym rynku określa się przy zastosowaniu odpowiednich technik wyceny. Takie techniki wyceny optymalizują wykorzystanie możliwych do zaobserwowania danych rynkowych tam, gdzie są one dostępne i polegają w jak najmniejszym stopniu na szacunkach poczynionych, specyficznych dla danej jednostki. W sytuacji, gdy wszystkie istotne dane wykorzystywane przy wycenie według wartości godziwej są możliwe do zaobserwowania, instrument finansowy prezentowany jest w ramach Poziomu 2.</t>
  </si>
  <si>
    <t>Wartość godziwą określa się w tym przypadku na podstawie dostępnych publicznie kwotowań pochodzących z rynku, który nie jest aktywny lub (w przypadku dłużnych instrumentów finansowych) na podstawie cen ustalonych i publikowanych przez niezależny serwis informacyjny w oparciu o kwotowania pochodzące od uczestników rynku (np. Bloomberg Generic Price), a w przypadku ich braku â€“ przy wykorzystaniu innych modeli wyceny.</t>
  </si>
  <si>
    <t>Wartość godziwą instrumentów dłużnych, które nie były notowane na aktywnym rynku (dłużne papiery wartościowe, listy zastawne) ustala się według metody zdyskontowanych przepływów pieniężnych, opierającej się na harmonogramie przepływów pieniężnych określonym na podstawie warunków emisji oraz stopie dyskontowej określonej na podstawie:</t>
  </si>
  <si>
    <t>â–Ş referencyjnej krzywej rentowności dla waluty instrumentu,</t>
  </si>
  <si>
    <t>â–Ş implikowanego z ostatniej ceny transakcyjnej spreadu kredytowego,</t>
  </si>
  <si>
    <t>â–Ş w przypadku instrumentów korporacyjnych (z wyłączeniem instrumentów emitowanych przez agendy rządowe), szacunku zmiany ww. spreadu kredytowego od daty ostatniej kwalifikowalnej transakcji do dnia wyceny w wyniku zmiany obserwowanych na rynku spreadów kredytowych oraz ewentualnej zmiany poziomu ryzyka przypisanego wewnętrznie lub przez agencję ratingową (o ile rating jest nadawany) do danego emitenta,</t>
  </si>
  <si>
    <t>â–Ş dane wejściowe do wyceny, takiej jak krzywe rentowności, kursy walutowe i spready sektorowe są pobierane z systemów informacyjnych.</t>
  </si>
  <si>
    <t>Zastosowane modele bazują na założeniu, że transakcja obserwowana na rynku, aktywnym lub nieaktywnym, stanowi odzwierciedlenie wartości godziwej i model powinien się do niej kalibrować.</t>
  </si>
  <si>
    <t>Uproszczenia zawarte w modelach wyceny:</t>
  </si>
  <si>
    <t>â–Ş pomija się odrębną analizę wartości zabezpieczeń â€“ przyjmuje się, że jest ona uwzględniona w implikowanym z cen transakcyjnych spreadzie kredytowym,</t>
  </si>
  <si>
    <t>â–Ş spready kredytowe są kalkulowane jako spready płaskie, bez ich różnicowania w zależności od terminu zapadalności,</t>
  </si>
  <si>
    <t>â–Ş źródłem informacji o spreadach kredytowych dla wspólnie obserwowanych przedziałów ryzyka są rynki zagraniczne,</t>
  </si>
  <si>
    <t>â–Ş terminy realizacji uprawnień do wykonania opcji są pomijane, a wartość opcji kalkulowana na bazie terminów przepływów w danym okresie odsetkowym.</t>
  </si>
  <si>
    <t>Wartość godziwa instrumentów pochodnych nienotowanych na aktywnym rynku (kontrakty terminowe oraz kontrakty zamiany oprocentowania typu IRS lub CIRS) określana jest metodą zdyskontowanych przyszłych przepływów pieniężnych. Do dyskontowania przepływów pieniężnych używane są stawki z krzywych OIS (overnight indexed swaps) uwzględniających walutę, w której denominowany jest depozyt zabezpieczający dla danego instrumentu. Łąródłem danych rynkowych wykorzystywanych do wyceny niewystandaryzowanych instrumentów pochodnych jest serwis Refinitiv.</t>
  </si>
  <si>
    <t>Poziom 1 Poziom 2 Poziom 1 Poziom 2</t>
  </si>
  <si>
    <t>Wartość księgowa Wartość godziwa Wartość księgowa Wartość godziwa Wartość księgowa Wartość godziwa Wartość księgowa Wartość godziwa</t>
  </si>
  <si>
    <t>AKTYWA FINANSOWE:</t>
  </si>
  <si>
    <t>Inwestycje w portfel aktywów FIZ, w tym:</t>
  </si>
  <si>
    <t>Zobowiązania FIZ, w tym:</t>
  </si>
  <si>
    <t>Grupa nie ujawnia wartości godziwej instrumentów finansowych wycenianych w skonsolidowanym sprawozdaniu z sytuacji finansowej w zamortyzowanym koszcie (za wyjątkiem otrzymanych kredytów i pożyczek), ponieważ korzysta ze zwolnienia wynikającego z MSSF 7.29 (ujawnianie informacji o wartości godziwej nie jest wymagane, gdyż wartość księgowa jest zasadniczo zbliżona do wartości godziwej).</t>
  </si>
  <si>
    <t>Przeniesienia aktywów pomiędzy Poziomem 1 i Poziomem 2 hierarchii wartości godziwej dokonuje się w przypadku utraty lub uzyskania dostępności notowań obserwowanych na aktywnym rynku. Wartość przeniesienia ustalana jest w trakcie roku, na początek każdego miesiąca jeśli zaistnieje okoliczność w poprzednim miesiącu, uzasadniająca takie przeniesienie.</t>
  </si>
  <si>
    <t>9.3. POZYCJE PRZYCHODÓW, KOSZTÓW, ZYSKÓW I STRAT UJĘTE W SPRAWOZDANIU Z WYNIKU FINANSOWEGO I INNYCH CAŁKOWITYCH DOCHODÓW W PODZIALE NA KATEGORIE INSTRUMENTÓW FINANSOWYCH</t>
  </si>
  <si>
    <t>9.4. POCHODNE INSTRUMENTY FINANSOWE ISTOTNE ZASADY RACHUNKOWOŚCI</t>
  </si>
  <si>
    <t>Instrumenty pochodne, z których korzysta Grupa w celu zabezpieczenia się przed ryzykiem związanym ze zmianami kursów walut, to przede wszystkim transakcje typu forward walutowy. Natomiast w celu zabezpieczenia się przed ryzykiem związanym ze zmianami cen węgla Grupa zawiera transakcje typu swap towarowy.</t>
  </si>
  <si>
    <t>Fundusz Inwestycyjny Zamknięty FIZ wykorzystuje instrumenty pochodne zabezpieczające ryzyko zmian kursów walutowych oraz zabezpieczające zmiany stóp procentowych. Instrumenty te zostały przedstawione w Nocie 7.5.</t>
  </si>
  <si>
    <t>Pochodne instrumenty finansowe zalicza się do aktywów/zobowiązań finansowych wycenianych w wartości godziwej przez wynik finansowy, o ile nie zostały wyznaczone jako instrumenty zabezpieczające. Pochodne instrumenty finansowe ujmuje się w wartości godziwej na dzień zawarcia kontraktu, a następnie przeszacowuje do wartości godziwej na każdy dzień kończący okres sprawozdawczy. Pochodne instrumenty finansowe wykazuje się jako aktywa, gdy ich wartość jest dodatnia, i jako zobowiązania â€“ gdy ich wartość jest ujemna, a zysk lub stratę z wyceny instrumentów ujmuje się niezwłocznie w wyniku finansowym (pozostałe zyski/(straty)-netto).</t>
  </si>
  <si>
    <t>Grupa stosuje rachunkowość zabezpieczeń dla zabezpieczenia przepływów pieniężnych. Celem stosowania rachunkowości zabezpieczeń przepływów pieniężnych jest zabezpieczenie przed zagrożeniem zmiennością przepływów pieniężnych, które przypisać można konkretnemu rodzajowi ryzyka związanemu z ujętym składnikiem aktywów lub zobowiązaniem lub z wysoce prawdopodobną planowaną transakcją i które mogłoby wpływać na wynik finansowy. Grupa stosuje rachunkowość zabezpieczeń przepływów pieniężnych w zakresie ryzyka walutowego i ryzyka zmian cen węgla. Instrumentami zabezpieczającymi mogą być instrumenty pochodne oraz kredyty i pożyczki w walucie obcej. Szczegóły dotyczącej stosowanej rachunkowości zabezpieczeń zostały przedstawione w Nocie 9.5.1.</t>
  </si>
  <si>
    <t>Podstawą oceny, czy zabezpieczenie jest efektywne, jest istnienie powiązania ekonomicznego pomiędzy pozycją zabezpieczaną a instrumentem zabezpieczającym. Wymóg istnienia powiązania ekonomicznego oznacza, że wartości instrumentu zabezpieczającego oraz pozycji zabezpieczanej zasadniczo zmieniają się przeciwstawnie ze względu na takie samo ryzyko. Grupa wyznacza powiązanie zabezpieczające, jeżeli pomiędzy pozycją zabezpieczaną a instrumentem zabezpieczającym występuje powiązanie ekonomiczne. Wskaźnik zabezpieczenia ustanowionego powiązania zabezpieczającego jest ustanowiony w wysokości zapewniającej efektywność powiązania oraz jest spójny z rzeczywistym wolumenem zabezpieczanej pozycji i instrumentu zabezpieczającego.</t>
  </si>
  <si>
    <t>Efektywność zabezpieczeń ustala się z chwilą powstania relacji zabezpieczającej, na koniec każdego kwartału i w przypadku stwierdzenia istotnych zmian w parametrach transakcji lub strategii zabezpieczenia. Grupa dokonuje jakościowej lub ilościowej oceny efektywności zabezpieczenia.</t>
  </si>
  <si>
    <t>Grupa zaprzestaje stosowania zasad rachunkowości zabezpieczeń przepływów pieniężnych, jeżeli instrument zabezpieczający wygaśnie, zostanie sprzedany, rozwiązany lub zrealizowany lub zmianie uległ cel zarządzania ryzykiem dla danego powiązania albo, jeśli zabezpieczenie przestaje spełniać kryteria rachunkowości zabezpieczeń dotyczących efektywności oraz zaprzestano oczekiwać realizacji planowanej transakcji.</t>
  </si>
  <si>
    <t>Instrumenty pochodne zabezpieczające Instrumenty pochodne wyceniane w wartości godziwej przez wynik finansowy Instrumenty pochodne zabezpieczające Instrumenty pochodne wyceniane w wartości godziwej przez wynik finansowy</t>
  </si>
  <si>
    <t>Typ instrumentu zabezpiecza-jącego</t>
  </si>
  <si>
    <t>Zobowią-zania</t>
  </si>
  <si>
    <t>Nazwa pozycji w bilansie, która zawiera instrument zabezpie-czający</t>
  </si>
  <si>
    <t>wartości godziwej instrumentu zabezpiecza-jącego jako podstawa ujęcia nieefektywno-ści zabezpieczenia w danym okresie</t>
  </si>
  <si>
    <t>Kwota nieefekty-wności zabezpie-czenia ujęta</t>
  </si>
  <si>
    <t>w</t>
  </si>
  <si>
    <t>wyniku finansowym</t>
  </si>
  <si>
    <t>Pozycja sprawozdania z wyniku finansowego i innych całkowitych dochodów w której ujęto kwotę nieefekty-wności</t>
  </si>
  <si>
    <t>Kwota przeklasyfiko-wana z kapitału z tytułu zabezpiecze-nia przepływów pieniężnych do wyniku finansowego jako korekta z tytułu przeklasyfiko-wania</t>
  </si>
  <si>
    <t>* Planowana sprzedaż dotyczy sprzedaży w USD zabezpieczonej transakcjami FX Forward i kredytami denominowanymi.</t>
  </si>
  <si>
    <t>9.5. ZARZĄDZANIE RYZYKIEM FINANSOWYM</t>
  </si>
  <si>
    <t>9.5.1. CZYNNIKI RYZYKA FINANSOWEGO</t>
  </si>
  <si>
    <t>Grupa w wyniku prowadzenia działalności narażona jest na następujące ryzyka finansowe: ryzyko rynkowe (w tym: ryzyko cenowe, ryzyko zmiany kursów walut oraz ryzyko zmiany przepływów pieniężnych w wyniku zmian stóp procentowych), ryzyko kredytowe oraz ryzyko utraty płynności.</t>
  </si>
  <si>
    <t>Prognozy przepływów pieniężnych.</t>
  </si>
  <si>
    <t>Instrumenty pochodne â€“ swap towarowy</t>
  </si>
  <si>
    <t>Planowana, zakontraktowana sprzedaż produktów, których cena jest indeksowana lub denominowana w walucie innej niż PLN.</t>
  </si>
  <si>
    <t>Instrumenty pochodne FIZ â€“Fx swap</t>
  </si>
  <si>
    <t>Zgodnie z Polityką Zarządzania Ryzykiem Walutowym Grupy Kapitałowej Jastrzębskiej Spółki Węglowej S.A.</t>
  </si>
  <si>
    <t>Zarządzanie ryzykiem / wdrożone instrumenty Ryzyko zmiany przepływów pieniężnych w wyniku zmian stóp procentowych</t>
  </si>
  <si>
    <t>Środki pieniężne i ich ekwiwalenty oraz lokaty, aktywa i zobowiązania FIZ, kredyty i pożyczki, zobowiązania z tytułu leasingu â€“ oprocentowane według zmiennych stóp procentowych</t>
  </si>
  <si>
    <t>Instrumenty pochodne FIZ â€“ swap procentowy.</t>
  </si>
  <si>
    <t>Zgodnie z Polityką Zarządzania Ryzykiem Stopy Procentowej JSW S.A. wraz z procedurą Ryzyko kredytowe</t>
  </si>
  <si>
    <t>Ryzyko kredytowe koncentruje się w następujących obszarach: należności handlowe, środki pieniężne i lokaty bankowe, instrumenty pochodne, inwestycje w portfel aktywów FIZ</t>
  </si>
  <si>
    <t>Współpraca wyłącznie z bankami o wysokiej wiarygodności. Dywersyfikacja ryzyka poprzez ustalanie maksymalnego stopnia koncentracji transakcji pochodnych</t>
  </si>
  <si>
    <t>Monitorowanie polityki inwestycyjnej FIZ Ryzyko utraty płynności</t>
  </si>
  <si>
    <t>Ryzyko niedoboru środków pieniężnych lub braku dostępu do krótkoterminowego finansowania, prowadzące do przejściowej lub trwałej utraty zdolności do regulowania zobowiązań finansowych lub narzucające konieczność pozyskania finansowania na niekorzystnych warunkach</t>
  </si>
  <si>
    <t>Zgodnie z Polityką zarzadzania płynnością wraz z procedurą w Grupie Kapitałowej JSW</t>
  </si>
  <si>
    <t>a) RYZYKO CENOWE</t>
  </si>
  <si>
    <t>Ryzyko cen produktów</t>
  </si>
  <si>
    <t>Na średnią cenę węgla koksowego w danym kwartale wpływają notowania z pięciu miesięcy (poprzedniego kwartału i dwóch pierwszych miesięcy kwartału bieżącego), co uśrednia gwałtowne wahania i wpływa na większą stabilizację cen Grupy. Większość kontraktów dotyczących sprzedaży węgla koksowego zawiera formuły cenowe oparte na ww. cenach referencyjnych, co stabilizuje ceny Grupy w stosunku do notowań węgli australijskich.</t>
  </si>
  <si>
    <t>Ceny koksu negocjowane są w oparciu o bieżące uwarunkowania rynkowe. Obecność Grupy na rynkach europejskich i zamorskich pozwala na pełniejsze rozpoznanie rynku, efektywne zarządzanie sprzedażą i polityką cenową w zależności od uwarunkowań na tych rynkach.</t>
  </si>
  <si>
    <t>Procesy zmian właścicielskich w hutnictwie światowym, postępująca konsolidacja przemysłu stalowego, mogą wpływać na wzrost siły przetargowej odbiorców. Grupa stale monitoruje poziom ekspozycji przychodów od największych kontrahentów oraz poszukuje możliwości dywersyfikacji sprzedaży.</t>
  </si>
  <si>
    <t>W przypadku zmian cen na rynku oraz dla zapewnienia stabilnej alokacji wolumenów na rynku, Grupa minimalizuje ich wpływ na sytuację finansową podejmując takie działania jak:</t>
  </si>
  <si>
    <t>â–Ş optymalizacja wolumenu produkcji, z uwzględnieniem wymagań ilościowych i jakościowych kontrahentów (stabilność parametrów oraz ich dotrzymywanie wpływa na stabilizację przychodów Grupy oraz możliwość uzyskiwania wyższych relacji cen węgli JSW w stosunku do cen referencyjnych),</t>
  </si>
  <si>
    <t>â–Ş optymalizacja kierunków sprzedaży produktów (m.in. wykorzystanie renty geograficznej, współpraca w oparciu o umowy wieloletnie, co przekłada się na stabilizację przychodów).</t>
  </si>
  <si>
    <t>Dekoniunktura w gospodarkach globalnych, w szczególności w branży stalowej i energetycznej lub zdarzenia mogące skutkować znaczącym spadkiem popytu na węgiel i koks mogą mieć niekorzystny wpływ na działalność, wyniki i sytuację finansową Grupy.</t>
  </si>
  <si>
    <t>Ograniczenie działalności gospodarczej może przejściowo prowadzić do redukcji zapotrzebowania i znacznych spadków cen surowców, w tym węgla koksowego, energetycznego i koksu. Ryzyko rynkowe jest wzmacniane przez konflikt w Ukrainie (embargo na import surowców z Rosji może wpływać na rynki globalne, ceny energii w UE, koszty produkcji stali w UE itp.) Konflikty geopolityczne pozostają dużym ryzykiem. Przywracana po agresji Rosji na Ukrainę równowaga rynkowa może zostać zachwiana skutkami wojny Izrael/Hamas, które mogą zakłócić szlaki handlowe oraz podnieść ceny energii.</t>
  </si>
  <si>
    <t>Aby zareagować na zmianę cen w odpowiednim momencie Grupa prowadzi stały monitoring rynków, ich analizę oraz śledzi na bieżąco trendy cenowe na rynku węgla, koksu, stali i energii elektrycznej oraz frachtów kolejowych i morskich. Prowadzona jest również analiza możliwości i warunków alternatywnego pozyskania przez odbiorców węgla lub koksu z rynku krajowego lub z rynków zagranicznych, w tym głównie zamorskich. Warunki kontraktów długoterminowych umożliwiają okresowe negocjacje cen. Realizując cele zarządzania ryzykiem Grupa działa w ramach zasad opisanych w Procedurze Handlowej Grupy Kapitałowej JSW oraz w ramach decyzji podejmowanych przez Komitet Ryzyka Finansowego Grupy Kapitałowej JSW.</t>
  </si>
  <si>
    <t>Nadrzędnym celem przyjętych w Grupie zasad zarządzania ryzykiem cen węgla koksowego jest zmniejszenie wpływu fluktuacji cen węgla koksowego na generowane przez Grupę przepływy pieniężne do akceptowalnego poziomu. Grupa zakłada, że wskutek stosowania zasad zarządzania ryzykiem cen węgla koksowego opisanych w Polityce Zarządzania Ryzykiem Cen Węgla Koksowego zwiększane będzie prawdopodobieństwo realizacji zaplanowanych przepływów pieniężnych oraz stabilność jej planowanego wzrostu w dłuższym okresie.</t>
  </si>
  <si>
    <t>Proces zarządzania ryzykiem cen węgla koksowego realizowany jest z zachowaniem rozdziału ról i obowiązków dotyczących funkcji wykonawczych (powiązanych z zawieraniem transakcji pochodnych) od funkcji kontrolnych, nadzorczych czy zarządczych.</t>
  </si>
  <si>
    <t>W Grupie funkcjonuje Komitet Ryzyka Finansowego, który pełni funkcje doradcze dla Zarządu JSW w zakresie zarządzania ryzykiem cen węgla koksowego. W ramach przyznanego przez Zarząd JSW limitu Komitet Ryzyka Finansowego może podejmować decyzję o wdrożeniu strategii zabezpieczeń lub w przypadku, w którym taki limit jest lub zostałby przekroczony, rekomendować ich implementację do Zarządu JSW.</t>
  </si>
  <si>
    <t>Grupa posiada inwestycje w portfel aktywów FIZ wyceniane w wartości godziwej przez wynik finansowy (w tym głównie obligacje Skarbu Państwa i Banku Gospodarstwa Krajowego notowane na aktywnym rynku), które są narażone na ryzyko cenowe w wyniku zmiany ratingu emitenta papierów wartościowych.</t>
  </si>
  <si>
    <t>Zmiana wartości godziwej aktywów netto FIZ</t>
  </si>
  <si>
    <t>Wpływ na wynik przed opodatkowaniem</t>
  </si>
  <si>
    <t>Efekt podatkowy</t>
  </si>
  <si>
    <t>b) RYZYKO ZMIANY KURSÓW WALUT</t>
  </si>
  <si>
    <t>Grupa jest narażona na znaczące ryzyko zmiany kursów walut wynikające z ekspozycji walutowej, które może wpłynąć na wysokość przyszłych przepływów pieniężnych oraz wynik finansowy. Głównym źródłem ryzyka walutowego w Grupie jest sprzedaż produktów:</t>
  </si>
  <si>
    <t>Celem nadrzędnym polityki Grupy jest ograniczenie do minimum ryzyka kursowego wynikającego z ekspozycji walutowej. Grupa na bieżąco mierzy ryzyko walutowe, a także podejmuje działania mające na celu minimalizację jego wpływu na sytuację finansową. Zarządzanie ryzykiem walutowym w Grupie odbywa się zgodnie z Polityką Zarządzania Ryzykiem Walutowym Grupy Kapitałowej JSW wraz z procedurą.</t>
  </si>
  <si>
    <t>Grupa stosuje podział funkcji pełnionych przez poszczególne jednostki organizacyjne pomiędzy funkcje wykonawcze, decyzyjne, nadzorcze, kontroli i analityczne.</t>
  </si>
  <si>
    <t>W Grupie funkcjonuje Komitet Ryzyka Finansowego, który jest odpowiedzialny za podejmowanie kluczowych decyzji w zakresie zarządzania ryzykiem walutowym, w szczególności za podejmowanie decyzji w zakresie zabezpieczania zakontraktowanych i planowanych przepływów pieniężnych.</t>
  </si>
  <si>
    <t>W ramach zarządzania ryzykiem walutowym Grupa stosuje hedging naturalny tj. zaciąga kredyty oraz w niewielkim stopniu dokonuje zakupów materiałów, usług lub dóbr inwestycyjnych w walutach obcych, w których osiąga przychody.</t>
  </si>
  <si>
    <t>Transakcje pochodne zawarte przez Fundusz, mające na celu zabezpieczenie pozycji aktywów finansowych denominowanych w walutach obcych przed ryzykiem zmiany kursów walutowych zostały przedstawione w Nocie 7.5.</t>
  </si>
  <si>
    <t>Grupa stosuje rachunkowość zabezpieczeń przepływów pieniężnych. Co do zasady do rachunkowości zabezpieczeń wyznaczane są transakcje pochodne, których termin zapadalności jest dłuższy niż 6 miesięcy. W momencie ustanowienia zabezpieczenia Grupa formalnie wyznacza i dokumentuje powiązanie zabezpieczające. Skuteczność stosowanych przez Grupę instrumentów finansowych zabezpieczających jest na bieżąco monitorowana i podlega ciągłej ocenie.</t>
  </si>
  <si>
    <t>â–Ş W 2023 roku Grupa wyznaczyła do rachunkowości zabezpieczeń transakcje Fx Forward o nominale 9,0 mln EUR i 34,0 mln USD. Jednocześnie Grupa kontynuowała rachunkowość zabezpieczeń dla transakcji Fx Forward zawartych w 2022 roku.</t>
  </si>
  <si>
    <t>c) RYZYKO ZMIANY PRZEPŁYWÓW PIENIĘŻNYCH W WYNIKU ZMIAN STÓP PROCENTOWYCH</t>
  </si>
  <si>
    <t>Głównym źródłem ryzyka stopy procentowej w Grupie są:</t>
  </si>
  <si>
    <t>â–Ş inwestycje w portfel aktywów FIZ,</t>
  </si>
  <si>
    <t>Pozycje skonsolidowanego sprawozdania z sytuacji finansowej narażone na zmianę stóp procentowych prezentuje poniższa tabela:</t>
  </si>
  <si>
    <t>Instrumenty pochodne wykorzystywane przez Fundusz w celu zabezpieczenia się przed ryzykiem zmiany stóp procentowych zostały przedstawione w Nocie 7.5.</t>
  </si>
  <si>
    <t>Grupa jest głównie narażona na ryzyko zmiany stopy procentowej w PLN, USD i EUR.</t>
  </si>
  <si>
    <t>d) RYZYKO KREDYTOWE</t>
  </si>
  <si>
    <t>Ryzyko kredytowe w Grupie koncentruje się w następujących obszarach:</t>
  </si>
  <si>
    <t>â–Ş inwestycje w portfel aktywów FIZ.</t>
  </si>
  <si>
    <t>Grupa ocenia, że maksymalna ekspozycja na ryzyko kredytowe na dzień kończący okres sprawozdawczy sięga pełnej wartości księgowej należności handlowych (bez uwzględnienia wartości godziwej przyjętych zabezpieczeń), środków pieniężnych i ich ekwiwalentów oraz aktywów finansowych w postaci terminowych lokat bankowych i aktywów FIZ.</t>
  </si>
  <si>
    <t>Ryzyko kredytowe dotyczące środków pieniężnych i ich ekwiwalentów jest ograniczone, ponieważ Grupa lokuje swoje środki pieniężne w bankach o ugruntowanej pozycji rynkowej i posiadających rating przyznawany przez międzynarodowe agencje ratingowe.</t>
  </si>
  <si>
    <t>* Powyższa informacja pokrywa środki pieniężne zaprezentowane w Nocie 7.6., Nocie 7.9., lokaty krótkoterminowe oraz środki zgromadzone na rachunkach ZFŚS.</t>
  </si>
  <si>
    <t>Ryzyko kredytowe związane z inwestycjami w portfel aktywów FIZ</t>
  </si>
  <si>
    <t>e) RYZYKO UTRATY PŁYNNOŚCI</t>
  </si>
  <si>
    <t>Nadrzędnym zadaniem Grupy w procesie zarządzania ryzykiem płynności jest bieżąca kontrola i planowanie poziomu płynności. Intencją Grupy jest również zachowanie prawidłowej struktury finansowania poprzez utrzymywanie odpowiedniego poziomu źródeł finansowania o charakterze długoterminowym.</t>
  </si>
  <si>
    <t>Proces zarządzania ryzykiem utraty płynności w Grupie wspomagany przez wdrożoną Politykę zarządzania płynnością wraz z procedurą w Grupie Kapitałowej, zakłada między innymi efektywne monitorowanie i raportowanie pozycji płynnościowej umożliwiającej podejmowanie działań prewencyjnych w sytuacji zagrożenia utraty płynności oraz utrzymywanie odpowiedniego (minimalnego) poziomu dostępnych środków na obsługę bieżących płatności.</t>
  </si>
  <si>
    <t>Grupa realizuje politykę w zakresie zarządzania płynnością, polegającą na dywersyfikacji źródeł finansowania i wykorzystywania dostępnych narzędzi do efektywnego zarządzania płynnością. W celu zwiększenia bezpieczeństwa płynności Grupy wykorzystywane są m.in. następujące narzędzia:</t>
  </si>
  <si>
    <t>â–Ş W celu efektywniejszego zarządzania bieżącą płynnością finansową w Grupie funkcjonuje system zarządzania środkami pieniężnymi - CPR.</t>
  </si>
  <si>
    <t>W związku z podjętymi przez Grupę działaniami mającymi na celu ograniczenie ryzyka utraty płynności, Grupa ocenia aktualny poziom ryzyka utraty płynności jako akceptowalny.</t>
  </si>
  <si>
    <t>9.5.2. ZARZĄDZANIE RYZYKIEM KAPITAŁOWYM</t>
  </si>
  <si>
    <t>Celem nadrzędnym zarządzania kapitałem Grupy jest utrzymanie wiarygodności kredytowej oraz bezpiecznych poziomów wskaźników kapitałowych, które obrazują właściwą relację zadłużenia do poziomu kapitałów.</t>
  </si>
  <si>
    <t>Intencją Grupy jest zapewnienie stabilnej struktury finansowania, przez dążenie do osiągnięcia i utrzymania co najmniej 50% udziału kapitałów własnych w sumie kapitału własnego i zobowiązań, a także pokrycia wartości aktywów trwałych kapitałami stałymi oraz dążenie do dopasowania średniej zapadalności finansowania do okresu zwrotu z finansowanych aktywów.</t>
  </si>
  <si>
    <t>Poniższa tabela przedstawia wyliczenia powyższych wskaźników.</t>
  </si>
  <si>
    <t>Kapitał własny</t>
  </si>
  <si>
    <t>Kapitał własny i zobowiązania</t>
  </si>
  <si>
    <t>Aktywa trwałe</t>
  </si>
  <si>
    <t>Zobowiązania długoterminowe</t>
  </si>
  <si>
    <t>Kapitał stały</t>
  </si>
  <si>
    <t>10. POZOSTAŁE NOTY OBJAŚNIAJĄCE</t>
  </si>
  <si>
    <t>10.1. POZYCJE WARUNKOWE</t>
  </si>
  <si>
    <t>a) szkody górnicze</t>
  </si>
  <si>
    <t>Grupa w ramach przyjętej polityki tworzenia rezerw ujmuje w skonsolidowanym sprawozdaniu finansowym rezerwy na szkody górnicze, które są skutkiem działalności eksploatacyjnej kopalń węgla kamiennego należących do JSW, w wartości bieżącej nakładów niezbędnych do wypełnienia zobowiązania. Grupie nie jest znana metoda ustalenia wartości przyszłych niezgłoszonych szkód górniczych, które wystąpią na skutek przeszłych działań eksploatacyjnych, która umożliwiłaby wiarygodne oszacowanie przyszłych kosztów ich likwidacji.</t>
  </si>
  <si>
    <t>b) gwarancje zatrudnienia</t>
  </si>
  <si>
    <t>Zarząd JSW w dniu 30 marca 2021 roku podjął uchwałę o przedłużeniu okresu obowiązywania zawartego w dniu 5 maja 2011 roku Porozumienia zbiorowego zawartego pomiędzy Zarządem JSW a reprezentatywnymi organizacjami Związków Zawodowych działających w JSW, dotyczącego gwarancji zatrudnienia dla pracowników JSW. Zgodnie z zapisami zawartego w 2011 roku porozumienia gwarancje zatrudnienia dla wszystkich pracowników JSW wynosiły 10 lat licząc od dnia upublicznienia akcji JSW na Giełdzie Papierów Wartościowych w Warszawie. Na mocy podjętej w 2021 roku uchwały Zarządu JSW gwarancje pracownicze zostały przedłużone o okres kolejnych 10 lat.</t>
  </si>
  <si>
    <t>c) udzielone i otrzymane poręczenia i gwarancje</t>
  </si>
  <si>
    <t>10.2. PRZYSZŁE ZOBOWIĄZANIA UMOWNE</t>
  </si>
  <si>
    <t>Przyszłe zobowiązania umowne zaciągnięte na dni kończące okresy sprawozdawcze, nie ujęte w skonsolidowanym sprawozdaniu z sytuacji finansowej obejmują:</t>
  </si>
  <si>
    <t>10.3. POŁĄCZENIA JEDNOSTEK GOSPODARCZYCH, NABYCIA (OBJĘCIA) ORAZ SPRZEDAŻ UDZIAŁÓW/AKCJI</t>
  </si>
  <si>
    <t>Zmiana stanu udziałów niekontrolujących:</t>
  </si>
  <si>
    <t>10.4. TRANSAKCJE Z PODMIOTAMI POWIĄZANYMI</t>
  </si>
  <si>
    <t>Poniżej przedstawiono istotne transakcje dokonywane z jednostkami stowarzyszonymi:</t>
  </si>
  <si>
    <t>Transakcje dokonywane z jednostkami stowarzyszonymi</t>
  </si>
  <si>
    <t>Zarząd JSW stanowi kluczową kadrę zarządzającą Grupy.</t>
  </si>
  <si>
    <t>Wynagrodzenie Członków Zarządu Jednostki dominującej</t>
  </si>
  <si>
    <t>INFORMACJE O TRANSAKCJACH Z CZŁONKAMI RADY NADZORCZEJ JSW</t>
  </si>
  <si>
    <t>Wynagrodzenie Rady Nadzorczej JSW</t>
  </si>
  <si>
    <t>INFORMACJE O TRANSAKCJACH Z CZŁONKAMI ZARZĄDU I RADY NADZORCZEJ JEDNOSTEK ZALEŻNYCH</t>
  </si>
  <si>
    <t>Informacje o transakcjach z Członkami Zarządu jednostek zależnych</t>
  </si>
  <si>
    <t>Informacje o transakcjach z Członkami Rady Nadzorczej jednostek zależnych</t>
  </si>
  <si>
    <t>10.5. WYNAGRODZENIE BIEGŁEGO REWIDENTA</t>
  </si>
  <si>
    <t>Umowa pomiędzy JSW a PWC została zawarta w dniu 15 czerwca 2023 roku i dotyczy badania jednostkowego sprawozdania finansowego JSW za lata 2023 - 2024, skonsolidowanego sprawozdania finansowego Grupy za lata 2023-2024, wykonanie przeglądu śródrocznego jednostkowego sprawozdania finansowego JSW za I półrocza 2023 - 2024 roku oraz śródrocznego skonsolidowanego sprawozdania finansowego Grupy za I półrocza 2023 - 2024 roku.</t>
  </si>
  <si>
    <t>Łączne wynagrodzenie biegłego rewidenta obejmujące wynagrodzenie dla PWC oraz innych firm audytorskich badających sprawozdania finansowe spółek zależnych, przedstawia poniższa tabela:</t>
  </si>
  <si>
    <t>10.6. WPŁYW CZYNNIKÓW ZEWNĘTRZNYCH NA DZIAŁALNOŚĘ† GRUPY</t>
  </si>
  <si>
    <t>WPŁYW KONFLIKTU ZBROJNEGO W UKRAINIE NA DZIAŁALNOŚĘ† GRUPY</t>
  </si>
  <si>
    <t>10.7. ZDARZENIA PO DNIU KOŁCZĄCYM OKRES SPRAWOZDAWCZY</t>
  </si>
  <si>
    <t>11. OŚWIADCZENIA ZARZĄDU JASTRZĘBSKIEJ SPÓŁKI WĘGLOWEJ S.A.</t>
  </si>
  <si>
    <t>W sprawie rzetelności sporządzenia skonsolidowanego sprawozdania finansowego</t>
  </si>
  <si>
    <t>Zarząd JSW oświadcza, że wedle jego najlepszej wiedzy, niniejsze roczne skonsolidowane sprawozdanie finansowe i dane porównywalne sporządzone zostały zgodnie z obowiązującymi zasadami rachunkowości oraz odzwierciedlają w sposób prawdziwy, rzetelny i jasny sytuację majątkową i finansową oraz wynik finansowy Grupy Kapitałowej Jastrzębskiej Spółki Węglowej S.A.</t>
  </si>
  <si>
    <t>12. ZATWIERDZENIE SKONSOLIDOWANEGO SPRAWOZDANIA FINANSOWEGO</t>
  </si>
  <si>
    <t>21,8</t>
  </si>
  <si>
    <t>SKONSOLIDOWANE SPRAWOZDANIE Z WYNIKU FINANSOWEGO I INNYCH CAŁKOWITYCH DOCHODÓW ...................... 4</t>
  </si>
  <si>
    <t>SKONSOLIDOWANE SPRAWOZDANIE Z SYTUACJI FINANSOWEJ ........................................................................................... 5</t>
  </si>
  <si>
    <t>SKONSOLIDOWANE SPRAWOZDANIE Z SYTUACJI FINANSOWEJ (CD.) ................................................................................. 6</t>
  </si>
  <si>
    <t>SKONSOLIDOWANE SPRAWOZDANIE ZE ZMIAN W KAPITALE WŁASNYM ............................................................................. 7</t>
  </si>
  <si>
    <t>SKONSOLIDOWANE SPRAWOZDANIE Z PRZEPŁYWÓW PIENIĘŻNYCH .................................................................................. 8</t>
  </si>
  <si>
    <t>INFORMACJE DODATKOWE ........................................................................................................................................................... 9</t>
  </si>
  <si>
    <t>NOTY DO SKONSOLIDOWANEGO SPRAWOZDANIA FINANSOWEGO ...................................................................................... 9</t>
  </si>
  <si>
    <t>1. INFORMACJE OGÓLNE ............................................................................................................................................................. 9</t>
  </si>
  <si>
    <t>2. ZASADY RACHUNKOWOŚCI .................................................................................................................................................. 12</t>
  </si>
  <si>
    <t>2.2.1. WPŁYW ZMIAN (RYZYK) KLIMATYCZNYCH NA PROWADZONĄ DZIAŁALNOŚĘ† ORAZ SYTUACJĘ FINANSOWĄ................ 13</t>
  </si>
  <si>
    <t>2.3. POLITYKA RACHUNKOWOŚCI ORAZ WAŻNE OSZACOWANIA I OSĄDY KSIĘGOWE ...................................................................... 14</t>
  </si>
  <si>
    <t>2.4. ZASADY KONSOLIDACJI I UJMOWANIE INWESTYCJI W SPÓŁKI STOWARZYSZONE ..................................................................... 15</t>
  </si>
  <si>
    <t>2.5. NOWE STANDARDY, INTERPRETACJE I ICH ZMIANY .......................................................................................................................... 15</t>
  </si>
  <si>
    <t>2.6. ZMIANY ZASAD PREZENTACJI STOSOWANYCH PRZEZ GRUPĘ ....................................................................................................... 16</t>
  </si>
  <si>
    <t>3. NOTY OBJAŚNIAJĄCE DO SEGMENTÓW OPERACYJNYCH .............................................................................................. 18</t>
  </si>
  <si>
    <t>4. NOTY OBJAŚNIAJĄCE DO SKONSOLIDOWANEGO SPRAWOZDANIA Z WYNIKU FINANSOWEGO I INNYCH CAŁKOWITYCH DOCHODÓW ....................................................................................................................................................... 22</t>
  </si>
  <si>
    <t>4.7. ZYSK/(STRATA) NA AKCJĘ ...................................................................................................................................................................... 25</t>
  </si>
  <si>
    <t>5. NOTY OBJAŚNIAJĄCE DOTYCZĄCE OPODATKOWANIA ................................................................................................... 26</t>
  </si>
  <si>
    <t>6. NOTY OBJAŚNIAJĄCE DOTYCZĄCE ZADŁUŻENIA ............................................................................................................. 31</t>
  </si>
  <si>
    <t>6.1. KREDYTY I POŻYCZKI .............................................................................................................................................................................. 32</t>
  </si>
  <si>
    <t>6.2. ZOBOWIĄZANIA Z TYTUŁU LEASINGU .................................................................................................................................................. 40</t>
  </si>
  <si>
    <t>6.3. UZGODNIENIE ZADŁUŻENIA ................................................................................................................................................................... 41</t>
  </si>
  <si>
    <t>7. NOTY OBJAŚNIAJĄCE DO SKONSOLIDOWANEGO SPRAWOZDANIA Z SYTUACJI FINANSOWEJ .............................. 42</t>
  </si>
  <si>
    <t>7.1. RZECZOWE AKTYWA TRWAŁE ............................................................................................................................................................... 42</t>
  </si>
  <si>
    <t>7.2. WARTOŚCI NIEMATERIALNE .................................................................................................................................................................. 45</t>
  </si>
  <si>
    <t>7.3. PRAWO DO UŻYTKOWANIA SKŁADNIKA AKTYWÓW ........................................................................................................................... 47</t>
  </si>
  <si>
    <t>7.4. UTRATA WARTOŚCI NIEFINANSOWYCH AKTYWÓW TRWAŁYCH ..................................................................................................... 50</t>
  </si>
  <si>
    <t>7.5. INWESTYCJE W PORTFEL AKTYWÓW FIZ ............................................................................................................................................ 62</t>
  </si>
  <si>
    <t>7.6. POZOSTAŁE DŁUGOTERMINOWE AKTYWA FINANSOWE................................................................................................................... 66</t>
  </si>
  <si>
    <t>7.7. ZAPASY...................................................................................................................................................................................................... 67</t>
  </si>
  <si>
    <t>7.8. NALEŻNOŚCI HANDLOWE ORAZ POZOSTAŁE NALEŻNOŚCI ............................................................................................................. 68</t>
  </si>
  <si>
    <t>7.9. ŚRODKI PIENIĘŻNE I ICH EKWIWALENTY ............................................................................................................................................. 71</t>
  </si>
  <si>
    <t>7.10. KAPITAŁ WŁASNY ................................................................................................................................................................................... 72</t>
  </si>
  <si>
    <t>7.10.1. KAPITAŁ PODSTAWOWY ............................................................................................................................................................. 73</t>
  </si>
  <si>
    <t>7.10.2. ZYSKI ZATRZYMANE .................................................................................................................................................................... 73</t>
  </si>
  <si>
    <t>7.10.3. UDZIAŁY NIEKONTROLUJĄCE .................................................................................................................................................... 74</t>
  </si>
  <si>
    <t>7.10.4. DYWIDENDY WYPŁACONE I ZAPROPONOWANE DO WYPŁATY ............................................................................................ 74</t>
  </si>
  <si>
    <t>7.11. ZOBOWIĄZANIA Z TYTUŁU ŚWIADCZEŁ PRACOWNICZYCH ............................................................................................................ 75</t>
  </si>
  <si>
    <t>7.12. REZERWY ................................................................................................................................................................................................ 79</t>
  </si>
  <si>
    <t>7.13. ZOBOWIĄZANIA HANDLOWE ORAZ POZOSTAŁE ZOBOWIĄZANIA .................................................................................................. 84</t>
  </si>
  <si>
    <t>8. NOTY OBJAŚNIAJĄCE DO SKONSOLIDOWANEGO SPRAWOZDANIA Z PRZEPŁYWÓW PIENIĘŻNYCH...................... 86</t>
  </si>
  <si>
    <t>8.1. WPŁYWY PIENIĘŻNE Z DZIAŁALNOŚCI OPERACYJNEJ ...................................................................................................................... 86</t>
  </si>
  <si>
    <t>9. NOTY OBJAŚNIAJĄCE DO INSTRUMENTÓW FINANSOWYCH ........................................................................................... 88</t>
  </si>
  <si>
    <t>9.1. KATEGORIE I KLASY INSTRUMENTÓW FINANSOWYCH ..................................................................................................................... 88</t>
  </si>
  <si>
    <t>9.2. HIERARCHIA WARTOŚCI GODZIWEJ ..................................................................................................................................................... 90</t>
  </si>
  <si>
    <t>9.3. POZYCJE PRZYCHODÓW, KOSZTÓW, ZYSKÓW I STRAT UJĘTE W SPRAWOZDANIU Z WYNIKU FINANSOWEGO I INNYCH CAŁKOWITYCH DOCHODÓW W PODZIALE NA KATEGORIE INSTRUMENTÓW FINANSOWYCH ................................................... 93</t>
  </si>
  <si>
    <t>9.4. POCHODNE INSTRUMENTY FINANSOWE ............................................................................................................................................. 95</t>
  </si>
  <si>
    <t>9.5. ZARZĄDZANIE RYZYKIEM FINANSOWYM ............................................................................................................................................. 99</t>
  </si>
  <si>
    <t>9.5.1. CZYNNIKI RYZYKA FINANSOWEGO ............................................................................................................................................. 99</t>
  </si>
  <si>
    <t>9.5.2. ZARZĄDZANIE RYZYKIEM KAPITAŁOWYM ................................................................................................................................109</t>
  </si>
  <si>
    <t>10. POZOSTAŁE NOTY OBJAŚNIAJĄCE ................................................................................................................................... 111</t>
  </si>
  <si>
    <t>10.1. POZYCJE WARUNKOWE .....................................................................................................................................................................111</t>
  </si>
  <si>
    <t>10.2. PRZYSZŁE ZOBOWIĄZANIA UMOWNE ..............................................................................................................................................112</t>
  </si>
  <si>
    <t>10.3. POŁĄCZENIA JEDNOSTEK GOSPODARCZYCH, NABYCIA (OBJĘCIA) ORAZ SPRZEDAŻ UDZIAŁÓW/AKCJI ............................112</t>
  </si>
  <si>
    <t>10.4. TRANSAKCJE Z PODMIOTAMI POWIĄZANYMI..................................................................................................................................112</t>
  </si>
  <si>
    <t>10.5. WYNAGRODZENIE BIEGŁEGO REWIDENTA .....................................................................................................................................114</t>
  </si>
  <si>
    <t>10.6. WPŁYW CZYNNIKÓW ZEWNĘTRZNYCH NA DZIAŁALNOŚĘ† GRUPY ..............................................................................................115</t>
  </si>
  <si>
    <t>10.7. ZDARZENIA PO DNIU KOŁCZĄCYM OKRES SPRAWOZDAWCZY ..................................................................................................116</t>
  </si>
  <si>
    <t>11. OŚWIADCZENIA ZARZĄDU JASTRZĘBSKIEJ SPÓŁKI WĘGLOWEJ S.A......................................................................... 117</t>
  </si>
  <si>
    <t>12. ZATWIERDZENIE SKONSOLIDOWANEGO SPRAWOZDANIA FINANSOWEGO............................................................... 118</t>
  </si>
  <si>
    <t>11 325,8</t>
  </si>
  <si>
    <t>4.2 (12 082,6)</t>
  </si>
  <si>
    <t xml:space="preserve">ZYSK/(STRATA) BRUTTO ZE SPRZEDAŻY </t>
  </si>
  <si>
    <t>(756,8)</t>
  </si>
  <si>
    <t>(371,7)</t>
  </si>
  <si>
    <t>(1 070,4)</t>
  </si>
  <si>
    <t>170,7</t>
  </si>
  <si>
    <t>171,4</t>
  </si>
  <si>
    <t xml:space="preserve">Utrata wartości niefinansowych aktywów trwałych </t>
  </si>
  <si>
    <t>(6 449,3)</t>
  </si>
  <si>
    <t>(226,0)</t>
  </si>
  <si>
    <t>(81,4)</t>
  </si>
  <si>
    <t>(138,8)</t>
  </si>
  <si>
    <t>360,3</t>
  </si>
  <si>
    <t xml:space="preserve">ZYSK/(STRATA) OPERACYJNY/(A) </t>
  </si>
  <si>
    <t>(8 198,6)</t>
  </si>
  <si>
    <t>(228,2)</t>
  </si>
  <si>
    <t xml:space="preserve">ZYSK/(STRATA) PRZED OPODATKOWANIEM </t>
  </si>
  <si>
    <t>(8 356,6)</t>
  </si>
  <si>
    <t>1 071,9</t>
  </si>
  <si>
    <t xml:space="preserve">ZYSK/(STRATA) NETTO </t>
  </si>
  <si>
    <t>(7 284,7)</t>
  </si>
  <si>
    <t xml:space="preserve">Inne całkowite dochody, które będą podlegały przeklasyfikowaniu do wyniku netto: </t>
  </si>
  <si>
    <t>(7,8)</t>
  </si>
  <si>
    <t>Podatek dochodowy 5.1</t>
  </si>
  <si>
    <t>66,1</t>
  </si>
  <si>
    <t>(15,5)</t>
  </si>
  <si>
    <t>59,8</t>
  </si>
  <si>
    <t>(7 224,9)</t>
  </si>
  <si>
    <t>Zysk/(strata) netto przypadający/(a) na:</t>
  </si>
  <si>
    <t>(7 242,3)</t>
  </si>
  <si>
    <t>(42,4)</t>
  </si>
  <si>
    <t xml:space="preserve">Całkowite dochody przypadające na: </t>
  </si>
  <si>
    <t>(7 182,4)</t>
  </si>
  <si>
    <t>- udziały niekontrolujące (42,5)</t>
  </si>
  <si>
    <t xml:space="preserve">Podstawowy zysk/(strata) na akcję przypadający/(a) na akcjonariuszy Jednostki dominującej (wyrażony/(a) w PLN na jedną akcję) </t>
  </si>
  <si>
    <t>(61,68)</t>
  </si>
  <si>
    <t xml:space="preserve">Rozwodniony zysk/(strata) na akcję przypadający/(a) na akcjonariuszy Jednostki dominującej (wyrażony/(a) w PLN na jedną akcję) </t>
  </si>
  <si>
    <t>* Dane przekształcone w związku z zastosowaną zmianą zasad prezentacji, która została szerzej opisana w Nocie 2.6.</t>
  </si>
  <si>
    <t>Nota 31.12.2024</t>
  </si>
  <si>
    <t xml:space="preserve">8 883,1 </t>
  </si>
  <si>
    <t>13 023,1</t>
  </si>
  <si>
    <t xml:space="preserve">147,7 </t>
  </si>
  <si>
    <t>198,7</t>
  </si>
  <si>
    <t xml:space="preserve">21,1 </t>
  </si>
  <si>
    <t xml:space="preserve">408,6 </t>
  </si>
  <si>
    <t>590,0</t>
  </si>
  <si>
    <t xml:space="preserve">1,3 </t>
  </si>
  <si>
    <t xml:space="preserve">1 455,6 </t>
  </si>
  <si>
    <t xml:space="preserve">7 453,1 </t>
  </si>
  <si>
    <t>7 476,0</t>
  </si>
  <si>
    <t xml:space="preserve">497,5 </t>
  </si>
  <si>
    <t>458,9</t>
  </si>
  <si>
    <t xml:space="preserve">18 868,0 </t>
  </si>
  <si>
    <t>22 095,9</t>
  </si>
  <si>
    <t xml:space="preserve">1 196,6 </t>
  </si>
  <si>
    <t>1 171,9</t>
  </si>
  <si>
    <t xml:space="preserve">1 385,8 </t>
  </si>
  <si>
    <t xml:space="preserve">21,9 </t>
  </si>
  <si>
    <t xml:space="preserve">12,0 </t>
  </si>
  <si>
    <t xml:space="preserve">503,6 </t>
  </si>
  <si>
    <t xml:space="preserve">0,1 </t>
  </si>
  <si>
    <t xml:space="preserve">7.9 885,0 </t>
  </si>
  <si>
    <t>2 690,8</t>
  </si>
  <si>
    <t xml:space="preserve">4 005,0 </t>
  </si>
  <si>
    <t>5 697,9</t>
  </si>
  <si>
    <t xml:space="preserve">22 873,0 </t>
  </si>
  <si>
    <t>27 793,8</t>
  </si>
  <si>
    <t xml:space="preserve">7.10.1 </t>
  </si>
  <si>
    <t>7 128,9</t>
  </si>
  <si>
    <t>9 287,0</t>
  </si>
  <si>
    <t>459,8</t>
  </si>
  <si>
    <t>9 746,8</t>
  </si>
  <si>
    <t xml:space="preserve">1 523,2 </t>
  </si>
  <si>
    <t>782,4</t>
  </si>
  <si>
    <t xml:space="preserve">13,9 </t>
  </si>
  <si>
    <t xml:space="preserve">767,3 </t>
  </si>
  <si>
    <t>960,2</t>
  </si>
  <si>
    <t xml:space="preserve">1 392,5 </t>
  </si>
  <si>
    <t>1 484,8</t>
  </si>
  <si>
    <t xml:space="preserve">341,0 </t>
  </si>
  <si>
    <t xml:space="preserve">134,2 </t>
  </si>
  <si>
    <t>146,3</t>
  </si>
  <si>
    <t xml:space="preserve">4 172,1 </t>
  </si>
  <si>
    <t>3 811,3</t>
  </si>
  <si>
    <t xml:space="preserve">362,7 </t>
  </si>
  <si>
    <t>635,8</t>
  </si>
  <si>
    <t xml:space="preserve">19,1 </t>
  </si>
  <si>
    <t xml:space="preserve">6,1 </t>
  </si>
  <si>
    <t>42,5</t>
  </si>
  <si>
    <t xml:space="preserve">304,2 </t>
  </si>
  <si>
    <t>293,0</t>
  </si>
  <si>
    <t xml:space="preserve">284,6 </t>
  </si>
  <si>
    <t>292,2</t>
  </si>
  <si>
    <t xml:space="preserve">273,0 </t>
  </si>
  <si>
    <t xml:space="preserve">4 050,5 </t>
  </si>
  <si>
    <t>1 910,0</t>
  </si>
  <si>
    <t xml:space="preserve">3 653,9 </t>
  </si>
  <si>
    <t>3 574,2</t>
  </si>
  <si>
    <t xml:space="preserve">8 954,1 </t>
  </si>
  <si>
    <t>7 010,8</t>
  </si>
  <si>
    <t xml:space="preserve">13 126,2 </t>
  </si>
  <si>
    <t>10 822,1</t>
  </si>
  <si>
    <t>Razem kapitał własny STAN NA 1 STYCZNIA 2024 1 251,9 905,0 7,5 14 305,0 16 469,4 502,3 16 971,7 Całkowite dochody razem: - - (6,3) (7 176,1) (7 182,4) (42,5) (7 224,9) - strata netto - - - (7 242,3) (7 242,3) (42,4) (7 284,7) - inne całkowite dochody - - (6,3) 66,2 59,9 (0,1) 59,8 STAN NA 31 GRUDNIA 2024 1 251,9 905,0 1,2 7 128,9 9 287,0 459,8 9 746,8</t>
  </si>
  <si>
    <t>STAN NA 1 STYCZNIA 2023</t>
  </si>
  <si>
    <t>915,2</t>
  </si>
  <si>
    <t>(68,9)</t>
  </si>
  <si>
    <t>(69,7) Dywidendy</t>
  </si>
  <si>
    <t>(0,2) Transakcje z udziałowcami niekontrolującymi</t>
  </si>
  <si>
    <t xml:space="preserve">75,6 </t>
  </si>
  <si>
    <t>4 706,4</t>
  </si>
  <si>
    <t xml:space="preserve">(3,1) </t>
  </si>
  <si>
    <t xml:space="preserve">(162,0) </t>
  </si>
  <si>
    <t>(2 957,2)</t>
  </si>
  <si>
    <t xml:space="preserve">(89,5) </t>
  </si>
  <si>
    <t>1 747,4</t>
  </si>
  <si>
    <t xml:space="preserve">(3 866,7) </t>
  </si>
  <si>
    <t>(3 913,9)</t>
  </si>
  <si>
    <t xml:space="preserve">(55,2) </t>
  </si>
  <si>
    <t>(33,0)</t>
  </si>
  <si>
    <t xml:space="preserve">(71,6) </t>
  </si>
  <si>
    <t>(88,5)</t>
  </si>
  <si>
    <t xml:space="preserve">(25,1) </t>
  </si>
  <si>
    <t xml:space="preserve">20,5 </t>
  </si>
  <si>
    <t>2 016,7 -</t>
  </si>
  <si>
    <t xml:space="preserve">6,6 </t>
  </si>
  <si>
    <t xml:space="preserve">72,9 </t>
  </si>
  <si>
    <t>276,9</t>
  </si>
  <si>
    <t xml:space="preserve">(1 846,6) </t>
  </si>
  <si>
    <t>(3 715,1)</t>
  </si>
  <si>
    <t xml:space="preserve">1 075,1 </t>
  </si>
  <si>
    <t>796,1</t>
  </si>
  <si>
    <t xml:space="preserve">0,8 </t>
  </si>
  <si>
    <t xml:space="preserve">(610,0) </t>
  </si>
  <si>
    <t>(669,6)</t>
  </si>
  <si>
    <t xml:space="preserve">(229,7) </t>
  </si>
  <si>
    <t>(219,9)</t>
  </si>
  <si>
    <t xml:space="preserve">(105,9) </t>
  </si>
  <si>
    <t>(85,8)</t>
  </si>
  <si>
    <t xml:space="preserve">130,3 </t>
  </si>
  <si>
    <t>(177,9)</t>
  </si>
  <si>
    <t xml:space="preserve">(1 805,8) </t>
  </si>
  <si>
    <t>(2 145,6)</t>
  </si>
  <si>
    <t>Niniejsze skonsolidowane sprawozdanie finansowe Grupy Kapitałowej obejmuje dane za rok obrotowy zakończony 31 grudnia 2024 roku oraz zawiera dane porównawcze za rok obrotowy zakończony 31 grudnia 2023 roku.</t>
  </si>
  <si>
    <t>Na dzień 31 grudnia 2024 roku oraz na dzień 31 grudnia 2023 roku większościowym akcjonariuszem Grupy był Skarb Państwa.</t>
  </si>
  <si>
    <t>W 2024 roku i w 2023 roku Skarb Państwa był bezpośrednim podmiotem kontrolującym najwyższego szczebla.</t>
  </si>
  <si>
    <t>Na dzień 31 grudnia 2024 roku JSW posiadała bezpośrednio lub pośrednio udziały i akcje w 18 spółkach powiązanych, w tym:</t>
  </si>
  <si>
    <t>Świadczenie usług wodno-ściekowych i odprowadzanie zasolonych wód górniczych, dostarczanie wody przemysłowej, działalność rekultywacyjna, produkcja soli 100,00%</t>
  </si>
  <si>
    <t>Niniejsze skonsolidowane sprawozdanie finansowe Grupy Kapitałowej Jastrzębskiej Spółki Węglowej S.A. za rok obrotowy zakończony 31 grudnia 2024 roku zostało sporządzone zgodnie ze wszystkimi Międzynarodowymi Standardami Sprawozdawczości Finansowej (â€žMSSFâ€ť) przyjętymi do stosowania w Unii Europejskiej (â€žUEâ€ť).</t>
  </si>
  <si>
    <t>Skonsolidowane sprawozdanie finansowe sporządzone zostało zgodnie z zasadą kosztu historycznego, z wyjątkiem pochodnych instrumentów finansowych, inwestycji w portfel aktywów FIZ (w tym: dłużne papiery wartościowe, listy zastawne, pochodne instrumenty FIZ), udziałów w innych jednostkach oraz świadectw efektywności energetycznej (certyfikaty białe), które są wyceniane według wartości godziwej.</t>
  </si>
  <si>
    <t>Dokonując oceny zdolności Grupy co do kontynuowania działalności, Zarząd JSW analizuje występowanie niepewności dotyczących zdarzeń lub okoliczności, które mogą nasuwać wątpliwości co do zdolności kontynuacji działalności. Do takich zdarzeń należą między innymi utrzymujące się w dłuższym okresie niekorzystne czynniki rynkowe, które bezpośrednio wpływają na sytuację finansową Grupy oraz spadek wolumenu produkcji węgla.</t>
  </si>
  <si>
    <t>Wyniki finansowe i operacyjne Grupy w 2024 roku były determinowane w głównej mierze niekorzystnymi globalnymi warunkami makroekonomicznymi. Globalne otoczenie makroekonomiczne charakteryzuje się obecnie wysokim stopniem zmienności, na który wpływają: podwyższona inflacja, rosnące koszty działalności gospodarczej, wojna w Ukrainie, skutki restrykcji nakładanych na Rosję, eskalacja konfliktu na Bliskim Wschodzie, niebezpieczeństwo kryzysu energetycznego w Europie, rosnąca podaż koksu w wyniku ekspansji koksu indonezyjskiego, rosnący protekcjonizm handlowy (limity importowe koksu w Indiach, taryfy celne m.in. na stal wprowadzone przez USA, taryfy celne wprowadzane przez inne kraje w odpowiedzi na działania USA) oraz zagrożenie spowolnienia globalnego wzrostu gospodarczego, lub recesji. Pogarszająca się sytuacja na rynku stalowym oraz rosnąca podaż wpłynęły na spadek notowań cen węgli koksowych, które okresowo osiągały poziom 180 USD, ostatni raz obserwowany w połowie 2021 roku. Uwzględniając notowania węgli koksujących wpływające na ceny Grupy w danym roku (średnia z okresu październik 2023 roku â€“ listopad 2024 roku), spadek średniej ceny referencyjnej węgla koksowego w 2024 roku w stosunku do 2023 roku wyniósł 9% (TSI Premium hard: 290 USD/t w 2023 roku, 263 USD/t w 2024 roku). Natomiast uwzględniając notowania koksu wpływające na ceny Grupy w danym roku (średnia z IV kwartału 2023 roku â€“ III kwartału 2024 roku), spadek średniej ceny referencyjnej koksu w 2024 roku w stosunku do 2023 roku wyniósł około12% (koks wielkopiecowy na rynku europejskim: 413 USD/t w 2023 roku, 364 USD/t w 2024 roku). Powyższe uwarunkowania rynkowe miały przełożenie w zrealizowanych cenach przez Grupę. Uzyskana średnia cena węgla ogółem w 2024 roku wynosiła 790,86 PLN/t i była niższa od osiągniętej w analogicznym okresie ubiegłego roku o 21,1%. Średnia cena węgla koksowego w tym okresie wynosiła 899,28 PLN/t (spadek w stosunku do analogicznego okresu roku ubiegłego o 20,0%), a średnia cena węgla do celów energetycznych osiągnęła poziom 452,06 PLN/t (spadek do analogicznego okresu roku ubiegłego o 35,3%).</t>
  </si>
  <si>
    <t>Kluczowym czynnikiem, który wpływa na ocenę w zakresie kontynuacji działalności, jest malejące wydobycie węgla koksowego w JSW. Wolumen produkcji węgla w 2024 roku został zrealizowany przez kopalnie JSW na poziomie 12,3 mln ton, tj. o 1,2 mln ton mniej niż w 2023 roku. Wpływ na spadek poziomu produkcji w 2024 roku miały między innymi zdarzenia w kopalniach JSW, w wyniku których Zarząd JSW podjął uchwały o wystąpieniu siły wyższej: pożar endogeniczny w KWK Budryk w chodniku badawczym pokł. 405/1 oraz pożar w KWK Pniówek w rejonie eksploatowanej ściany N-10 pokład 404/4+405/1 (Nota 10.6.).</t>
  </si>
  <si>
    <t>W odpowiedzi na sytuację Grupy, na którą złożyły się m.in. malejące ceny węgla koksowego, rosnąca podaż niskokosztowego węgla koksowego spoza Europy, malejący popyt na węgiel koksowy w Europie w związku ze zmniejszaniem wielkopiecowej produkcji stali i zamykaniem koksowni, malejące wydobycie węgla koksowego w JSW przy wzroście kosztów i wydatków na inwestycje, Jednostka dominująca opracowała i przyjęła Plan Strategicznej Transformacji (â€žPlanâ€ť). Dokument zakłada realizację inicjatyw w czterech kluczowych blokach:</t>
  </si>
  <si>
    <t>â–Ş poprawa efektywności wydobycia,</t>
  </si>
  <si>
    <t>â–Ş optymalizacja procesów zakupowych,</t>
  </si>
  <si>
    <t>â–Ş racjonalizacja wydatków inwestycyjnych,</t>
  </si>
  <si>
    <t>â–Ş optymalizacja funkcji wsparcia.</t>
  </si>
  <si>
    <t>Wszystkie działania w tych obszarach mają do końca roku 2027 przynieść Grupie szacowane 8,5 mld PLN pozytywnych skutków finansowych w porównaniu do bazowego roku 2023. Co ważne, przyjęty Plan, nie generuje ryzyka utraty pracy przez pracowników JSW.</t>
  </si>
  <si>
    <t>Największy efekt ma przynieść wprowadzenie modelu Efektywnej Kopalni, czyli 22 inicjatyw (ujętych w kilkunastu projektach), których wprowadzenie ma zwiększyć m.in. efektywność pracy maszyn górniczych, a co za tym idzie, również efektywność pracy załóg. Ponadto, zaproponowano szereg działań związanych z reorganizacją pracy oraz maksymalnym wykorzystaniem parku maszynowego, stosowanie innowacyjnych rozwiązań mających przeciwdziałać opadowi skał stropowych w ścianach oraz zwiększenie nacisku na jakość robót przygotowawczych, co skutkować w przyszłości będzie skróceniem czasu zabudowy wnęk ścianowych.</t>
  </si>
  <si>
    <t>Kolejny blok inicjatyw, poza obszarem wydobycia, obejmuje oszczędności w zakupach i wydatkach inwestycyjnych. Inicjatywy w obszarze zakupów obejmują takie działania jak poprawa gospodarki materiałowej, agregacja kontraktów, wydłużenie czasu trwania umów, korzystanie z umów ramowych, konsolidacja zakupów w centralnej funkcji zakupowej i prowadzenie ciągłego monitorowania i oceny dostawców. Agregacja kontraktów z dostawcami pomiędzy zakładami zarówno w obszarze CAPEXU jak i OPEXU, wydłużenie czasu trwania umów oraz wdrożenie umów ramowych, zmiana warunków postępowań przetargowych, czy aktualizacja głównego narzędzia zakupowego.</t>
  </si>
  <si>
    <t>Kolejnym filarem przyjętego Planu będzie optymalizacja funkcji wsparcia we wszystkich spółkach Grupy. Pozytywne skutki mają zostać osiągnięte poprzez uzyskanie efektu synergii w ramach Grupy.</t>
  </si>
  <si>
    <t>Na dzień 31 grudnia 2024 roku sytuacja finansowa Grupy wskazuje, że aktywa obrotowe są niższe niż zobowiązania krótkoterminowe. Niemniej jednak Grupa dysponuje środkami pieniężnymi zgromadzonymi w Funduszu Stabilizacyjnym (â€žFIZâ€ť), które stanowią zabezpieczenie potrzeb płynnościowych i inwestycyjnych w okresie dekoniunktury (Nota 7.5.).</t>
  </si>
  <si>
    <t>Grupa wdraża szereg inicjatyw, których celem jest poprawa bieżącej płynności, polegających m.in. na renegocjacji umów z kontrahentami, zarówno w zakresie zmian terminów realizacji umów, zmian terminów płatności jak i warunków cenowych, wstrzymaniu lub zmian harmonogramów realizowanych inwestycji, inicjatyw w zakresie oszczędności zakupowych, zmian w zakresie sposobu i terminu realizacji niektórych świadczeń pracowniczych.</t>
  </si>
  <si>
    <t>W ocenie Zarządu JSW, środki zgromadzone w FIZ oraz wdrożenie wyżej przedstawionych działań i inicjatyw, kompensują potencjalny wpływ występujących w otoczeniu makroekonomicznym, jak i obszarze wydobywczym, niekorzystnych okoliczności oraz umożliwiają zachowanie zdolności do kontynuowania działalności w niezmienionej formie i zakresie przez okres co najmniej 12 miesięcy od dnia kończącego okres sprawozdawczy. Aktywa i zobowiązania wykazywane są w skonsolidowanym sprawozdaniu z sytuacji finansowej przy założeniu, że Grupa będzie mogła uzyskać korzyści ekonomiczne z aktywów i wypełnić zobowiązania w toku normalnej działalności</t>
  </si>
  <si>
    <t>Na dzień zatwierdzenia niniejszego skonsolidowanego sprawozdania finansowego nie stwierdzono istnienia istotnych niepewności i okoliczności wskazujących na zagrożenie kontynuowania działalności w dającej się przewidzieć przyszłości. Wobec powyższego, rozważając czynniki odnośnie bieżącej, jak i oczekiwanej sytuacji finansowej Grupy, Zarząd JSW uznaje przyjęcie założenia kontynuacji działalności jako zasadne.</t>
  </si>
  <si>
    <t>Restrykcyjna polityka klimatyczna UE prowadzi do ograniczenia emisji gazów cieplarnianych, zwiększenia pozyskania energii ze źródeł odnawialnych i zwiększenia efektywności energetycznej. Postępujące zmiany klimatu i wynikające z nich zmiany w otoczeniu biznesowym wpływają na działalność Grupy. Kwestie zmian klimatycznych szczególnie przekładają się na zmieniające się otoczenie prawne, przepisy prawa unijnego i krajowego zwiększające wymogi w zakresie ochrony środowiska. Mając na uwadze nowe wyzwania zachodzących zmian regulacyjnych i sprecyzowanie roli Grupy w transformacji środowiskowej i energetyczno-klimatycznej Polski i Unii Europejskiej, w 2024 roku Grupa kontynuowała realizację przyjętej w 2022 roku Strategii środowiskowej GK JSW do 2030 roku z perspektywą do roku 2050 (â€žStrategii środowiskowejâ€ť).</t>
  </si>
  <si>
    <t>Grupa w związku z charakterem prowadzonej działalności wydobywczej i produkcyjnej ma bezpośredni i pośredni wpływ na zmiany klimatyczne. Głównym źródłem emisji gazów cieplarnianych wynikającym z działalności Grupy jest metan usuwany ze względów bezpieczeństwa z wyrobisk kopalnianych (ponad 70% śladu węglowego).</t>
  </si>
  <si>
    <t>Działalność Grupy zarówno wpływa na klimat, jak również od niego zależy, co generuje ryzyka jak i możliwości rozwoju. W ramach opracowanej Strategii środowiskowej, przeprowadzono analizę ryzyk i szans klimatycznych oraz ich wpływ na działalność Grupy. Największy potencjalny negatywny wpływ na obecną działalność Grupy mają ryzyka transformacyjne typu regulacyjnego i rynkowego wpływające na ambitne wymagania ograniczania emisji oraz potrzebę transformacji i dywersyfikacji działalności w kierunku technologii niskoemisyjnych. Największy potencjalny pozytywny wpływ na obecną działalność Grupy posiadają szanse związane z rozwojem źródeł wytwarzania energii pozwalające na samowystarczalność energetyczną, jak również potencjał do rozwoju technologii nisko i zeroemisyjnych.</t>
  </si>
  <si>
    <t>Grupa w swojej działalności zaplanowała działania w kierunku redukcji emisji gazów cieplarnianych, wdrożenia zaplanowanych w Grupie projektów inwestycyjnych obejmujących główne źródła emisji do 2030 roku, kontynuacji rozwoju innowacyjnych technologii redukcji emisji w celu dalszej neutralizacji do 2050 roku (Net Zero).</t>
  </si>
  <si>
    <t>â–Ş realizuje opracowany program Redukcji Emisji Metanu (â€žREMâ€ť) (stanowiący rozszerzenie dotychczas realizowanego programu Gospodarczego Wykorzystania Metanu (â€žGWMâ€ť), mający na celu zabudowę silników zasilanych metanem do produkcji kogeneracji energii elektrycznej i cieplnej, oraz nowe działania konieczne do osiągnięcia zakładanego poziomu ujęcia metanu na poziomie ok. 50% i jego gospodarczego wykorzystania do 95%;</t>
  </si>
  <si>
    <t>â–Ş zmniejszyła w 2024 roku emisję metanu do atmosfery o ok. 91,6 mln m3 (głównym źródłem emisji gazów cieplarnianych związanych z procesem wydobycia węgla jest metan) poprzez jego gospodarcze wykorzystanie;</t>
  </si>
  <si>
    <t>â–Ş w ramach projektów inwestycyjnych mających na celu zrównoważoną transformację Grupy w kierunku neutralności klimatycznej zaplanowano działania w zakresie dalszej optymalizacji zużycia energii i poprawy efektywności energetycznej, rozwoju własnych mocy wytwórczych energii oraz zwiększenia udziału â€žzielonej energiiâ€ť w wolumenie energii kupowanej z rynku;</t>
  </si>
  <si>
    <t>â–Ş pozyskała finansowanie w formule Sustainabilityâ€“linked loan (umowa finansowania z instytucjami finansowymi zawarta w dniu 12 kwietnia 2023 roku), gdzie część kredytów i pożyczek jest przeznaczona na finansowanie inwestycyjne o charakterze środowiskowym. Zgodnie z warunkami umowy JSW jest zobowiązana do realizacji celów powiązanych ze zrównoważonym rozwojem mierzonych kluczowymi wskaźnikami efektywności;</t>
  </si>
  <si>
    <t>â–Ş na bieżąco ocenia ryzyko związane z klimatem w ramach procesu zarządzania ryzykiem korporacyjnym ERM funkcjonującym w Grupie. Szczegółowy opis zidentyfikowanych rodzajów ryzyka klimatycznego został przedstawiony w Punkcie 5.1. Sprawozdania Zarządu z działalności Jastrzębskiej Spółki Węglowej S.A. oraz Grupy Kapitałowej Jastrzębskiej Spółki Węglowej S.A.za rok obrotowy zakończony 31 grudnia 2024 roku;</t>
  </si>
  <si>
    <t>Zarząd dokonał analizy wpływu zmian klimatycznych oraz transformacji energetycznej i ryzyk z tym związanych, na istotne osądy i szacunki dokonywane przez Grupę, szczególnie w kontekście realizowanej strategii dekarbonizacji z konkretnymi zobowiązaniami dotyczącymi redukcji metanu i osiągnięcia neutralności klimatycznej. Na moment sporządzenia niniejszego sprawozdania nie stwierdzono istotnego wpływu zmian klimatycznych na utratę wartości aktywów Grupy i skrócenie okresu amortyzacji aktywów trwałych, a także nie stwierdzono konieczności ujęcia dodatkowych rezerw.</t>
  </si>
  <si>
    <t>Na dzień zatwierdzenia niniejszego skonsolidowanego sprawozdania finansowego Zarząd JSW nie stwierdza, aby wpływ kwestii klimatycznych stanowił zagrożenie kontynuowania działalności przez Grupę w dającej się przewidzieć przyszłości.</t>
  </si>
  <si>
    <t>Przyjęte przez Grupę zasady rachunkowości są spójne z zasadami stosowanymi w poprzednim roku obrotowym, za wyjątkiem przyjęcia nowych i zmienionych standardów opisanych w Nocie 2.5. oraz zmian zasad prezentacji, które zostały przedstawione w Nocie 2.6.</t>
  </si>
  <si>
    <t>(a) Zastosowanie zmian i interpretacji do standardów</t>
  </si>
  <si>
    <t>Od dnia 1 stycznia 2024 roku obowiązują zmiany i interpretacje do standardów, które dotyczą działalności Grupy:</t>
  </si>
  <si>
    <t>â–Ş zmiany do MSR 1 Prezentacja sprawozdań finansowych w zakresie klasyfikacji zobowiązań jako krótkoterminowe lub długoterminowe oraz zobowiązania długoterminowe z kowenantami dotyczą działalności Grupy, z uwagi na posiadane przez Grupę umowy finansowania, które nakładają na JSW oraz inne spółki z Grupy szereg zobowiązań umownych tzw. kowenanty. Grupa analizuje i klasyfikuje zobowiązania finansowe jako krótko- lub długoterminowe w zależności od praw istniejących na koniec okresu sprawozdawczego, na klasyfikację nie mają wpływu ani oczekiwania jednostki ani zdarzenia po dniu kończącym okres sprawozdawczy. Grupa zastosowała zmiany do MSR 1 i ujawnia w Nocie 6.1. klasyfikację kredytów i pożyczek oraz informacje o kowenantach umownych wskazujących na ryzyko niewywiązania się przez Grupę z warunków kowenantu w terminie wskazanym po zakończeniu okresu sprawozdawczego.</t>
  </si>
  <si>
    <t>â–Ş decyzja KIMSF z lipca 2024 roku Ujawnienia o przychodach i kosztach segmentów sprawozdawczych (MSSF 8) â€“ ujawnienie istotnych pozycji kosztów w segmentach operacyjnych zostało zaprezentowane w Nocie 3.1.</t>
  </si>
  <si>
    <t>Poniższe zmiany standardów obowiązujące od 1 stycznia 2024 roku, z uwagi na niewystępujące w analizowanym okresie sprawozdawczym transakcje, nie dotyczą działalności Grupy:</t>
  </si>
  <si>
    <t>â–Ş zmiany do MSSF 16 Leasing: zobowiązania leasingowe w ramach sprzedaży i leasingu zwrotnego,</t>
  </si>
  <si>
    <t>â–Ş zmiany do MSR 7 Rachunek przepływów pieniężnych i MSSF 7 Instrumenty finansowe: ujawnianie informacji w zakresie ujawnień dodatkowych informacji o umowach finansowania z dostawcami w celu oceny wpływu tych umów na zobowiązania i przepływy pieniężne oraz na ekspozycję na ryzyko płynności.</t>
  </si>
  <si>
    <t>(b) Zmiany do standardu, jakie zostały już opublikowane i zatwierdzone przez UE, ale jeszcze nie weszły w życie</t>
  </si>
  <si>
    <t>Zatwierdzając niniejsze skonsolidowane sprawozdanie finansowe Grupa nie zdecydowała się na wcześniejsze zastosowanie wymienionych poniżej zmian standardu, które zostały opublikowane i zatwierdzone do stosowania w UE, ale które nie weszły jeszcze w życie. Grupa zastosuje zmiany do istniejącego standardu w zakresie mającym zastosowanie do prowadzonej przez nią działalności od momentu ich wejścia w życie lub po tym dniu:</t>
  </si>
  <si>
    <t>Powyższe zmiany do standardu nie dotyczą działalności Grupy lub nie będą mieć istotnego wpływu na skonsolidowane sprawozdanie finansowe.</t>
  </si>
  <si>
    <t>(c) Standardy i zmiany standardów przyjęte przez RMSR, ale jeszcze niezatwierdzone przez UE</t>
  </si>
  <si>
    <t>Zmiany do MSSF 10 Skonsolidowane sprawozdania finansowe oraz MSR 28 Inwestycje w jednostkach stowarzyszonych â€“ w zakresie sprzedaży lub wniesienia aktywów pomiędzy inwestorem a jego jednostkami stowarzyszonymi lub wspólnymi przedsięwzięciami</t>
  </si>
  <si>
    <t>Roczne zmiany do MSSF â€“ zmiany do standardów MSSF 1 Zastosowanie Międzynarodowych Standardów Sprawozdawczości Finansowej po raz pierwszy, MSSF 7 Instrumenty finansowe: ujawnianie informacji, MSSF 9 Instrumenty finansowe, MSSF 10 Skonsolidowane sprawozdania finansowe oraz MSR 7 Rachunek przepływów pieniężnych.</t>
  </si>
  <si>
    <t>1 stycznia 2026</t>
  </si>
  <si>
    <t>Zmiany do MSSF 9 Instrumenty finansowe i MSSF 7 Instrumenty finansowe: ujawnianie informacji â€“ klasyfikacja i wycena instrumentów finansowych</t>
  </si>
  <si>
    <t>Zmiany do MSSF 9 Instrumenty finansowe oraz MSSF 7 Instrumenty finansowe: ujawnianie informacji - umowy odnoszące się do energii elektrycznej zależnej od czynników naturalnych</t>
  </si>
  <si>
    <t>MSSF 19 Spółki zależne bez odpowiedzialności publicznej: ujawnienia</t>
  </si>
  <si>
    <t>MSSF 18 Prezentacja i ujawnienia w sprawozdaniach finansowych dotyczy głównie: prezentacji sprawozdania z wyniku finansowego (klasyfikacja przychodów i kosztów do kategorii: operacyjnej, inwestycyjnej, finansowej, podatku dochodowego oraz działalności zaniechanej), ujawnień miar wyników zdefiniowanych przez Grupę oraz kwestii związanych z agregacją i dezagregacją informacji zawartej w sprawozdaniach finansowych. MSSF 18 będzie mieć wpływ na skonsolidowane sprawozdanie finansowe, jednak Grupa nie zakończyła jeszcze szczegółowej analizy na moment zatwierdzenia niniejszego skonsolidowanego sprawozdania finansowego.</t>
  </si>
  <si>
    <t>Zmiany do MSSF 9 Instrumenty finansowe i MSSF 7 Instrumenty finansowe: ujawnianie informacji â€“ klasyfikacja i wycena instrumentów finansowych, z uwagi na zawartą przez Grupę umowę finansowania dotyczącą finansowania w formule Sustainability-linked Ioan, mogą mieć wpływ na skonsolidowane sprawozdanie finansowe w zakresie ujawnień informacji, jednak Grupa nie zakończyła jeszcze szczegółowej analizy na moment zatwierdzenia niniejszego skonsolidowanego sprawozdania finansowego.</t>
  </si>
  <si>
    <t>Pozostałe standardy (MSSF 19) i zmiany do standardów (roczne zmiany do MSSF, zmiany do MSSF 9 oraz MSSF 7 dotyczące umów odnoszących się do energii elektrycznej zależnej od czynników naturalnych) nie dotyczą działalności Grupy lub nie będą mieć istotnego wpływu na skonsolidowane sprawozdanie finansowe.</t>
  </si>
  <si>
    <t>2.6. ZMIANY ZASAD PREZENTACJI STOSOWANYCH PRZEZ GRUPĘ</t>
  </si>
  <si>
    <t>ZMIANA ZASAD PREZENTACJI</t>
  </si>
  <si>
    <t>W bieżącym okresie sprawozdawczym, z uwagi na istotność kwot ujętych odpisów z tytułu utraty wartości niefinansowych aktywów, Grupa dokonała zmiany zasad prezentacji utworzenia i odwrócenia odpisów aktualizujących z tytułu utraty wartości niefinansowych aktywów trwałych, które zostały zaprezentowane w osobnych pozycjach skonsolidowanego sprawozdania z wyniku finansowego i innych całkowitych dochodów. Przed zmianą prezentacji odpisy te były ujmowane w następujących pozycjach: pozostałych przychodach (odwrócenie odpisu z tytułu utraty wartości składnika aktywów) i pozostałych kosztach (ujęcie odpisu z tytułu utraty wartości składnika aktywów). Zmiana pozwoli w sposób bardziej czytelny zaprezentować informację o strukturze i charakterze ponoszonych kosztów i osiąganych przychodów przez Grupę.</t>
  </si>
  <si>
    <t>Dane porównawcze za rok obrotowy zakończony 31 grudnia 2023 rok zostały przekształcone, zgodnie z poniższą tabelą:</t>
  </si>
  <si>
    <t>Za rok obrotowy zakończony 31 grudnia 2023</t>
  </si>
  <si>
    <t>zmiana prezentacji</t>
  </si>
  <si>
    <t xml:space="preserve">(226,0) </t>
  </si>
  <si>
    <t xml:space="preserve">(15,9) </t>
  </si>
  <si>
    <t xml:space="preserve">241,9 </t>
  </si>
  <si>
    <t xml:space="preserve">Pozostałe zyski - netto </t>
  </si>
  <si>
    <t>681,1</t>
  </si>
  <si>
    <t>Organem podejmującym kluczowe decyzje w Grupie jest Zarząd JSW. Miarą wyniku poszczególnych segmentów operacyjnych Grupy analizowaną przez Zarząd Jednostki dominującej jest zysk/(strata) operacyjny/(a) segmentu ustalony/(a) według zasad MSR/MSSF. Przychody z transakcji z podmiotami zewnętrznymi są wyceniane w sposób spójny ze sposobem zastosowanym w skonsolidowanym sprawozdaniu z wyniku finansowego i innych całkowitych dochodów.</t>
  </si>
  <si>
    <t>Przychody z tytułu transakcji pomiędzy segmentami są eliminowane w procesie konsolidacji. Sprzedaż między segmentami realizowana jest na warunkach rynkowych. Zgodnie z zasadami stosowanymi przez Zarząd Jednostki dominującej do oceny wyników działalności poszczególnych segmentów, przychód oraz marża są rozpoznawane w wyniku segmentu w momencie dokonanej sprzedaży poza segment. Przychody i koszty finansowe nie są przypisywane do poszczególnych segmentów.</t>
  </si>
  <si>
    <t>Węgiel Koks Pozostałe segmenty* Korekty konsolida- cyjne** Razem ZA OKRES ZAKOŁCZONY 31 GRUDNIA 2024 Łączne przychody ze sprzedaży segmentu, w tym: 9 630,4 4 684,0 3 117,3 (6 105,9) 11 325,8 Przychody ze sprzedaży pomiędzy segmentami 3 707,7 - 2 398,2 (6 105,9) - Przychody ze sprzedaży od odbiorców zewnętrznych 5 913,0 4 674,7 719,1 - 11 306,8 Korekta przychodów ze sprzedaży z tytułu realizacji transakcji zabezpieczających 9,7 9,3 - - 19,0 Koszt sprzedanych produktów, materiałów i towarów (10 422,8) (4 745,1) (2 801,6) 5 886,9 (12 082,6) Zysk/(strata) brutto ze sprzedaży segmentu (792,4) (61,1) 315,7 (219,0) (756,8) Koszty administracyjne (876,4) (96,8) (119,9) 22,7 (1 070,4) Zysk/(strata) operacyjny/(a) segmentu (6 502,6) (1 753,0) 203,4 (146,4) (8 198,6) Amortyzacja (1 527,3) (73,2) (165,0) 67,6 (1 697,9) Świadczenia na rzecz pracowników (5 778,9) (374,3) (1 223,5) 83,6 (7 293,1) INNE ISTOTNE POZYCJE NIEPIENIĘŻNE: - Utworzenie odpisów aktualizujących niefinansowe aktywa trwałe (5 499,2) (1 471,8) (0,6) - (6 971,6) - Odwrócenie odpisów aktualizujących niefinansowe aktywa trwałe 520,5 - 1,8 - 522,3 AKTYWA SEGMENTU RAZEM, W TYM: 10 111,3 1 879,9 2 772,9 (1 836,2) 12 927,9 Zwiększenie aktywów trwałych (innych niż instrumenty finansowe i aktywa z tytułu podatku dochodowego) 3 843,6 398,8 139,2 (183,5) 4 198,1</t>
  </si>
  <si>
    <t>Węgiel Koks Pozostałe segmenty* Korekty konsolida- cyjne** Razem ZA OKRES ZAKOŁCZONY 31 GRUDNIA 2023 Łączne przychody ze sprzedaży segmentu, w tym: 14 072,1 5 641,2 2 880,1 (7 254,9) 15 338,5 Przychody ze sprzedaży pomiędzy segmentami 5 165,2 - 2 089,7 (7 254,9) - Przychody ze sprzedaży od odbiorców zewnętrznych 8 876,0 5 632,1 790,4 - 15 298,5 Korekta przychodów ze sprzedaży z tytułu realizacji transakcji zabezpieczających 30,9 9,1 - - 40,0 Koszt sprzedanych produktów, materiałów i towarów (10 129,3) (6 069,0) (2 595,5) 7 303,1 (11 490,7) Zysk/(strata) brutto ze sprzedaży segmentu 3 942,8 (427,8) 284,6 48,2 3 847,8 Koszty administracyjne (866,5) (110,0) (106,6) - (1 060,2) Zysk/(strata) operacyjny/(a) segmentu 3 252,6 (780,5) 173,4 181,2 2 826,7 Amortyzacja (1 549,3) (107,6) (148,3) 76,0 (1 729,2) Świadczenia na rzecz pracowników (6 002,8) (420,2) (1 051,4) 67,1 (7 407,3) INNE ISTOTNE POZYCJE NIEPIENIĘŻNE: - Utworzenie odpisów aktualizujących niefinansowe aktywa trwałe (212,4) (24,2) (5,3) - (241,9) - Odwrócenie odpisów aktualizujących niefinansowe aktywa trwałe 1,8 13,6 0,5 - 15,9 AKTYWA SEGMENTU RAZEM, W TYM: 14 487,0 4 153,1 2 768,7 (1 914,1) 19 494,7 Zwiększenie aktywów trwałych (innych niż instrumenty finansowe i aktywa z tytułu podatku dochodowego) 3 997,5 539,6 286,4 (149,2) 4 674,3</t>
  </si>
  <si>
    <t>Poniżej przedstawione jest uzgodnienie wyników segmentów (zysku/(straty) operacyjnego/(ej) z zyskiem/(stratą) przed opodatkowaniem):</t>
  </si>
  <si>
    <t>ZYSK/(STRATA) OPERACYJNY/(A)</t>
  </si>
  <si>
    <t>Udział w zyskach jednostek stowarzyszonych</t>
  </si>
  <si>
    <t>ZYSK/(STRATA) PRZED OPODATKOWANIEM (8 356,6)</t>
  </si>
  <si>
    <t>12 927,9</t>
  </si>
  <si>
    <t>19 494,7</t>
  </si>
  <si>
    <t>1 455,6</t>
  </si>
  <si>
    <t>7 956,7</t>
  </si>
  <si>
    <t>Pozostałe długoterminowe aktywa</t>
  </si>
  <si>
    <t>RAZEM AKTYWA WEDŁUG SKONSOLIDOWANEGO SPRAWOZDANIA Z SYTUACJI FINANSOWEJ 22 873,0</t>
  </si>
  <si>
    <t>Nota Za rok obrotowy zakończony</t>
  </si>
  <si>
    <t>3 754,2 5 662,8</t>
  </si>
  <si>
    <t>972,6 1 060,6</t>
  </si>
  <si>
    <t>702,1 775,9</t>
  </si>
  <si>
    <t>5 428,9 7 499,3</t>
  </si>
  <si>
    <t>5 354,7 7 348,2</t>
  </si>
  <si>
    <t>2 158,8 3 213,2</t>
  </si>
  <si>
    <t>3 179,1 4 120,6</t>
  </si>
  <si>
    <t>16,8 14,4</t>
  </si>
  <si>
    <t>523,0 358,9</t>
  </si>
  <si>
    <t>0,2 92,1</t>
  </si>
  <si>
    <t>- 92,0</t>
  </si>
  <si>
    <t>0,2 0,1</t>
  </si>
  <si>
    <t>5 877,9 7 799,2</t>
  </si>
  <si>
    <t>3 702,1 4 571,5</t>
  </si>
  <si>
    <t>17,0 14,5</t>
  </si>
  <si>
    <t>Korekta przychodów ze sprzedaży z tytułu realizacji transakcji zabezpieczających 19,0 40,0</t>
  </si>
  <si>
    <t>RAZEM PRZYCHODY ZE SPRZEDAŻY 4.1 11 325,8 15 338,5</t>
  </si>
  <si>
    <t>Polska</t>
  </si>
  <si>
    <t>5 428,8 7 499,3</t>
  </si>
  <si>
    <t>Austria</t>
  </si>
  <si>
    <t>2 041,0 2 493,0</t>
  </si>
  <si>
    <t>Czechy</t>
  </si>
  <si>
    <t>1 307,5 1 916,7</t>
  </si>
  <si>
    <t>Niemcy</t>
  </si>
  <si>
    <t>1 412,3 1 802,6</t>
  </si>
  <si>
    <t>Słowacja</t>
  </si>
  <si>
    <t>240,5 381,0</t>
  </si>
  <si>
    <t>Belgia</t>
  </si>
  <si>
    <t>121,3 257,1</t>
  </si>
  <si>
    <t>Hiszpania</t>
  </si>
  <si>
    <t>144,6 206,0</t>
  </si>
  <si>
    <t>Norwegia</t>
  </si>
  <si>
    <t>144,9 191,5</t>
  </si>
  <si>
    <t>Szwajcaria</t>
  </si>
  <si>
    <t>378,2 167,4</t>
  </si>
  <si>
    <t>Rumunia</t>
  </si>
  <si>
    <t>- 97,6</t>
  </si>
  <si>
    <t>Singapur</t>
  </si>
  <si>
    <t>0,1 92,1</t>
  </si>
  <si>
    <t>Włochy</t>
  </si>
  <si>
    <t>3,4 79,7</t>
  </si>
  <si>
    <t>Luksemburg</t>
  </si>
  <si>
    <t>53,3 64,9</t>
  </si>
  <si>
    <t>Holandia</t>
  </si>
  <si>
    <t>27,6 35,4</t>
  </si>
  <si>
    <t>Francja</t>
  </si>
  <si>
    <t>3,2 14,2</t>
  </si>
  <si>
    <t>Pozostałe kraje</t>
  </si>
  <si>
    <t>0,1 -</t>
  </si>
  <si>
    <t>Za okres od 1 stycznia do 31 grudnia 2024 roku przychody z tytułu sprzedaży do dwóch klientów przekroczyły dla każdego z nich pojedynczo poziom 10% przychodów ze sprzedaży Grupy. Przychody ze sprzedaży do jednego z nich wyniosły 2 763,0 mln PLN, do drugiego 1 984,8 mln PLN. Przychody ze sprzedaży do tych klientów zostały ujęte w Segmencie Węgiel oraz w Segmencie Koks.</t>
  </si>
  <si>
    <t>W Grupie występują wieloletnie kontrakty ramowe zawierające bazowe uzgodnienia ilościowe w ujęciu rocznym oraz opcje ilościowe. Przed rozpoczęciem danego roku bazowe uzgodnienia ilościowe są weryfikowane i dzielone na kwartały, określane są również warunki uruchomienia opcji ilościowych. Finalne operatywne uzgodnienia ilościowe i cenowe dokonywane są w negocjacjach kwartalnych, część cen wyznaczana jest w oparciu o kwartalne lub miesięczne formuły cenowe, stąd Grupa uznaje, że obowiązki świadczenia wynikają z kontraktów, które mają oczekiwany okres trwania do 1 roku i na tej podstawie korzysta z wyłączenia wskazanego w MSSF 15 nie ujawniając ceny transakcyjnej przypisanej do obowiązków świadczeń niewypełnionych w ramach tych umów.</t>
  </si>
  <si>
    <t>Do głównych kontraktów dotyczących sprzedaży węgla i koksu (które stanowią w 2024 roku 89,4% łącznych przychodów ze sprzedaży bez uwzględnienia korekty z tytułu realizacji transakcji zabezpieczających i 90,6% w roku 2023) Grupa wykorzystuje międzynarodowe reguły handlu tzw. INCOTERMS (FCA, DAP, FOB). Moment przeniesienia kontroli nad przyrzeczonymi dobrami i usługami na klienta wskazany jest ściśle w każdej regule dostawy, tj.:</t>
  </si>
  <si>
    <t>Sprzedaż węgla</t>
  </si>
  <si>
    <t>5 913,0</t>
  </si>
  <si>
    <t>8 876,0</t>
  </si>
  <si>
    <t>Sprzedaż koksu</t>
  </si>
  <si>
    <t>4 201,8</t>
  </si>
  <si>
    <t>4 985,6</t>
  </si>
  <si>
    <t>Sprzedaż węglopochodnych</t>
  </si>
  <si>
    <t>472,9</t>
  </si>
  <si>
    <t>646,5</t>
  </si>
  <si>
    <t>Pozostała działalność</t>
  </si>
  <si>
    <t>719,1</t>
  </si>
  <si>
    <t>790,4</t>
  </si>
  <si>
    <t>RAZEM PRZYCHODY ZE SPRZEDAŻY 11 325,8</t>
  </si>
  <si>
    <t>* W 2024 roku korekta dotyczy przychodów ze sprzedaży węgla w kwocie 9,7 mln PLN oraz przychodów ze sprzedaży koksu w kwocie 9,3 mln PLN (w 2023 roku korekta dotyczy przychodów ze sprzedaży węgla w kwocie 30,9 mln PLN oraz przychodów ze sprzedaży koksu w kwocie 9,1 mln PLN).</t>
  </si>
  <si>
    <t>1 697,9</t>
  </si>
  <si>
    <t>1 729,2</t>
  </si>
  <si>
    <t>Zużycie materiałów i energii</t>
  </si>
  <si>
    <t>3 801,9</t>
  </si>
  <si>
    <t>3 872,0</t>
  </si>
  <si>
    <t>- zużycie materiałów</t>
  </si>
  <si>
    <t>2 662,6</t>
  </si>
  <si>
    <t>2 758,6</t>
  </si>
  <si>
    <t>- zużycie energii</t>
  </si>
  <si>
    <t>1 139,3</t>
  </si>
  <si>
    <t>1 113,4</t>
  </si>
  <si>
    <t>Usługi obce</t>
  </si>
  <si>
    <t>2 533,1</t>
  </si>
  <si>
    <t>2 430,4</t>
  </si>
  <si>
    <t>Świadczenia na rzecz pracowników*</t>
  </si>
  <si>
    <t>7 293,1</t>
  </si>
  <si>
    <t>7 407,3</t>
  </si>
  <si>
    <t>Podatki i opłaty</t>
  </si>
  <si>
    <t>332,8</t>
  </si>
  <si>
    <t>349,5</t>
  </si>
  <si>
    <t>Pozostałe koszty rodzajowe</t>
  </si>
  <si>
    <t>108,8</t>
  </si>
  <si>
    <t>RAZEM KOSZTY RODZAJOWE</t>
  </si>
  <si>
    <t>15 767,6</t>
  </si>
  <si>
    <t>15 845,3</t>
  </si>
  <si>
    <t>Wartość świadczeń i rzeczowych aktywów trwałych wytworzonych na własne potrzeby (w tym wyrobisk ruchowych i zbrojenia ścian)</t>
  </si>
  <si>
    <t>(2 297,6)</t>
  </si>
  <si>
    <t>(2 689,7)</t>
  </si>
  <si>
    <t>Zmiana stanu produktów</t>
  </si>
  <si>
    <t>(239,7)</t>
  </si>
  <si>
    <t>Wartość sprzedanych materiałów i towarów</t>
  </si>
  <si>
    <t>54,2</t>
  </si>
  <si>
    <t>84,3</t>
  </si>
  <si>
    <t>KOSZT SPRZEDANYCH PRODUKTÓW, MATERIAŁÓW I TOWARÓW 12 082,6</t>
  </si>
  <si>
    <t>11 490,7</t>
  </si>
  <si>
    <t>* W 2024 roku pozycja obejmuje koszt świadczenia jednorazowego łącznie z kosztami pracodawcy w wysokości 243,6 mln PLN (wypłaconego we wrześniu oraz grudniu 2024 roku w na podstawie zawartego w dniu 20 czerwca 2024 roku Porozumienia pomiędzy Zarządem JSW a Reprezentatywnymi Organizacjami Związkowymi działającymi w JSW w sprawie wzrostu funduszu płac w 2024 roku) oraz szacowany koszt pozostałej części świadczenia jednorazowego łącznie z kosztami pracodawcy w wysokości 152,5 mln PLN, które na podstawie Porozumienia z dnia 20 stycznia 2025 roku będzie wypłacone w kwietniu 2025 roku pracownikom JSW będącym w stanie zatrudnienia na dzień 31 maja 2024 roku i spełniającym warunki jego uzyskania, i tym samym zamknie realizację zapisów Porozumienia z czerwca 2024 roku.</t>
  </si>
  <si>
    <t>Natomiast w 2023 roku pozycja obejmuje koszt motywacyjnej nagrody jednorazowej łącznie z kosztami pracodawcy w wysokości 262,2 mln PLN (wypłaconej pracownikom JSW w lipcu i sierpniu 2023 roku na podstawie zawartego w dniu 11 lipca 2023 roku Porozumienia pomiędzy Zarządem JSW a Reprezentatywnymi Organizacjami Związkowymi działającymi w JSW) oraz koszt dodatkowej premii jednorazowej łącznie z kosztami pracodawcy w wysokości 354,3 mln PLN (wypłaconej pracownikom JSW w październiku 2023 roku na podstawie zawartego w dniu 13 października 2023 roku Porozumienia pomiędzy Zarządem JSW a Reprezentatywnymi Organizacjami Związkowymi działającymi w JSW).</t>
  </si>
  <si>
    <t>27,5</t>
  </si>
  <si>
    <t>Rozwiązanie rezerwy na koszty remediacji gruntów</t>
  </si>
  <si>
    <t>21,6</t>
  </si>
  <si>
    <t>14,3</t>
  </si>
  <si>
    <t>Rozwiązanie rezerwy na koszty likwidacji ZK Dębieńsko</t>
  </si>
  <si>
    <t>- w tym odsetki hipotetyczne od zobowiązań naliczone zgodnie z art. 5 ustawy o przeciwdziałaniu nadmiernym opóźnieniom w transakcjach handlowych z późn. zmianami</t>
  </si>
  <si>
    <t>Koszty zagospodarowania mienia nieprodukcyjnego</t>
  </si>
  <si>
    <t>4,5</t>
  </si>
  <si>
    <t>Utworzenie rezerwy na przyszłe zobowiązania z tytułu odsetek</t>
  </si>
  <si>
    <t>13,5</t>
  </si>
  <si>
    <t>34,5</t>
  </si>
  <si>
    <t>81,4</t>
  </si>
  <si>
    <t>138,8</t>
  </si>
  <si>
    <t>Zysk na pochodnych instrumentach finansowych</t>
  </si>
  <si>
    <t>(8,4)</t>
  </si>
  <si>
    <t>(Strata) z tytułu zbycia/ likwidacji rzeczowych aktywów trwałych</t>
  </si>
  <si>
    <t>356,9</t>
  </si>
  <si>
    <t>459,4</t>
  </si>
  <si>
    <t>532,9</t>
  </si>
  <si>
    <t>- koszty odsetkowe z transakcji SBB</t>
  </si>
  <si>
    <t>(163,6)</t>
  </si>
  <si>
    <t>(155,4)</t>
  </si>
  <si>
    <t>61,1</t>
  </si>
  <si>
    <t>Przychody odsetkowe od środków pieniężnych i ich ekwiwalentów 65,1</t>
  </si>
  <si>
    <t>271,8</t>
  </si>
  <si>
    <t>Różnice kursowe od środków pieniężnych i ich ekwiwalentów oraz transakcji Fx Forward i swap towarowy 4,6</t>
  </si>
  <si>
    <t>Inne 0,3</t>
  </si>
  <si>
    <t>RAZEM PRZYCHODY FINANSOWE 70,0</t>
  </si>
  <si>
    <t>Koszty odsetek: (189,1)</t>
  </si>
  <si>
    <t>(176,5)</t>
  </si>
  <si>
    <t>- odsetki i prowizje od kredytów i pożyczek (71,6)</t>
  </si>
  <si>
    <t>(52,6)</t>
  </si>
  <si>
    <t>- rozliczenie dyskonta z tytułu długoterminowych rezerw (113,4)</t>
  </si>
  <si>
    <t>(120,1)</t>
  </si>
  <si>
    <t>- pozostałe odsetki (4,1)</t>
  </si>
  <si>
    <t>Odsetki od leasingu (37,4)</t>
  </si>
  <si>
    <t>(34,3)</t>
  </si>
  <si>
    <t>Różnice kursowe od transakcji Fx Forward i swap towarowy -</t>
  </si>
  <si>
    <t>Inne (1,7)</t>
  </si>
  <si>
    <t>RAZEM KOSZTY FINANSOWE (228,2)</t>
  </si>
  <si>
    <t>PRZYCHODY/(KOSZTY) FINANSOWE NETTO (158,2)</t>
  </si>
  <si>
    <t>47,9</t>
  </si>
  <si>
    <t>4.7. ZYSK/(STRATA) NA AKCJĘ ISTOTNE ZASADY RACHUNKOWOŚCI</t>
  </si>
  <si>
    <t>ZYSK/(STRATA) NA AKCJĘ</t>
  </si>
  <si>
    <t>Jednostka dominująca nie posiada instrumentów powodujących rozwodnienie potencjalnych akcji zwykłych. W związku z powyższym rozwodniony zysk/(strata) na akcję równy/(a) jest podstawowemu/(ej) zyskowi/(stracie) na akcję Jednostki dominującej i oblicza się jako iloraz zysku/(straty) przypadającego/(ej) na akcjonariuszy Jednostki dominującej oraz średniej ważonej liczby akcji zwykłych w ciągu roku.</t>
  </si>
  <si>
    <t>Zysk/(strata) netto przypadający/(a) na akcjonariuszy Jednostki dominującej</t>
  </si>
  <si>
    <t>Średnia ważona liczba akcji zwykłych (szt.)</t>
  </si>
  <si>
    <t>117 411 596 117 411 596</t>
  </si>
  <si>
    <t>PODSTAWOWY/(A) ZYSK/(STRATA) NA JEDNĄ AKCJĘ (W PLN NA JEDNĄ AKCJĘ)</t>
  </si>
  <si>
    <t>(61,68) 8,46</t>
  </si>
  <si>
    <t>ROZWODNIONY/(A) ZYSK/(STRATA) NA JEDNĄ AKCJĘ (W PLN NA JEDNĄ AKCJĘ) (61,68) 8,46</t>
  </si>
  <si>
    <t>Na obowiązkowe obciążenia wyniku przed opodatkowaniem składają się: podatek bieżący, korekta podatku za rok ubiegły, podatek odroczony oraz składka solidarnościowa.</t>
  </si>
  <si>
    <t>W związku z wejściem w życie w dniu 19 września 2023 roku ustawy z dnia 16 sierpnia 2023 roku o zmianie ustawy o szczególnych rozwiązaniach służących ochronie odbiorców energii elektrycznej w 2023 roku w związku z sytuacją na rynku energii elektrycznej oraz niektórych innych ustaw (â€žUstawa nowelizującaâ€ť), która znowelizowała m.in. ustawę z dnia 27 października 2022 roku o środkach nadzwyczajnych mających na celu ograniczenie wysokości cen energii elektrycznej oraz wsparciu niektórych odbiorców w 2023 roku (â€žUstawaâ€ť), JSW jako â€žprzedsiębiorca obowiązanyâ€ť, z uwagi na fakt prowadzenia przez Jednostkę dominującą działalności polegającej na eksploatacji złóż węgla kamiennego (na podstawie koncesji, o której mowa w art. 21 ust. 1 pkt 2 ustawy z dnia 9 czerwca 2011 roku Prawo geologiczne i górnicze), została zobowiązana do jednorazowego odprowadzenia w 2023 roku składki solidarnościowej. Grupa uznała, że składka solidarnościowa stanowi podatek dochodowy (osąd w tym zakresie przedstawiono poniżej) i prezentuje obciążenia z tego tytułu w skonsolidowanym sprawozdaniu z wyniku finansowego i innych całkowitych dochodów w pozycji â€žpodatek dochodowyâ€ť.</t>
  </si>
  <si>
    <t>Grupa jest objęta zakresem zasad modelowych filaru drugiego OECD. Przepisy dotyczące filaru drugiego zaczną obowiązywać Grupę od 1 stycznia 2025 roku. Przepisy filaru drugiego nie obowiązywały na dzień kończący okres sprawozdawczy, dlatego w Grupie nie występuje żadne bieżące obciążenie podatkowe. Grupa stosuje wyjątek MSR 12 w zakresie ujmowania i ujawniania informacji o aktywach i zobowiązaniach z tytułu odroczonego podatku związanych z podatkiem dochodowym w ramach filaru drugiego. Grupa jest w trakcie analizy wpływu zastosowania przepisów dotyczących filaru drugiego na skonsolidowane sprawozdanie finansowe.</t>
  </si>
  <si>
    <t>W ramach rocznego rozliczenia z tytułu podatku dochodowego, niektórzy podatnicy CIT są zobowiązani do obliczenia oraz zapłaty minimalnego podatku dochodowego. Podatek minimalny obejmuje podatników, którzy w danym roku rozpoznali stratę podatkową lub dochód nieprzekraczający 2% wartości przychodów. Podatek minimalny wynosi 10% podstawy opodatkowania, którą stanowi suma części przychodów rozpoznanych przez podatnika oraz określonych kosztów uzyskania przychodów, poniesionych na rzecz podmiotów powiązanych. Jednostka dominująca nie podlega opodatkowaniu minimalnym podatkiem dochodowym od osób prawnych, ponieważ korzysta z wyłączenia przewidzianego ustawą. Pozostałe spółki z Grupy nie podlegają opodatkowaniu minimalnym podatkiem dochodowym za 2024 rok.</t>
  </si>
  <si>
    <t>Na dzień 31 grudnia 2024 roku główną pozycją aktywa z tytułu podatku odroczonego od straty podatkowej jest aktywo w JSW w kwocie 327,0 mln PLN (3,9 mln PLN na dzień 31 grudnia 2023 roku ) oraz w JSW KOKS w wysokości 71,2 mln PLN (134,2 mln PLN na dzień 31 grudnia 2023 roku). Jednostka dominująca sporządziła analizę rozliczalności straty podatkowej powstałej w latach 2021-2024. Z prognoz wynika, że w latach następnych JSW osiągnie zysk podatkowy, który pozwoli rozliczyć aktywa z tytułu odroczonego podatku dochodowego od straty podatkowej. Jednostka dominująca w latach 2020 â€“ 2021 również osiągnęła straty podatkowe w łącznej wysokości 1 938,7 mln PLN, które rozliczyła w latach 2022-2023 oraz korektą zeznania podatkowego za 2019 rok. Natomiast JSW KOKS, w oparciu o projekcję długoterminowego modelu finansowego na lata 2025 â€“ 2030 sporządziła analizę rozliczalności straty podatkowej powstałej w latach 2023-2024.</t>
  </si>
  <si>
    <t>Z prognoz wynika, że w latach następnych JSW KOKS nie osiągnie zysku podatkowego, który pozwoliłby rozliczyć w całości aktywa z tytułu odroczonego podatku dochodowego od straty podatkowej, w związku z tym zaktualizowano wartość aktywa poprzez utworzenie odpisu aktualizującego, co zostało przedstawione w poniższych Notach.</t>
  </si>
  <si>
    <t>Z uwagi na fakt, iż JSW eksploatuje złoża węgla kamiennego na podstawie koncesji uzyskanej przed dniem 1 stycznia 2022 roku oraz z uwagi na to, iż suma dochodów podatkowych Jednostki dominującej osiągniętych w latach 2018 - 2021 jest mniejsza niż zero, JSW dokonała wyliczenia kwoty składki solidarnościowej w oparciu o wzór określony w art. 29c ust. 1 pkt 2 Ustawy, przyjmując jako podstawę do wyliczenia składki dochód podatkowy osiągnięty w roku podatkowym 2022 z innych źródeł przychodów niż z zysków kapitałowych w rozumieniu art. 7 ust. 1-3 ustawy z dnia 15 lutego 1992 roku o podatku dochodowym od osób prawnych. Kwota składki solidarnościowej zaraportowanej w Sprawozdaniu dotyczącym składki solidarnościowej (â€žSprawozdanieâ€ť) z dnia 17 października 2023 roku, wynosząca 1 609,6 mln PLN została uiszczona w ustawowym terminie, tj. w dniu 17 listopada 2023 roku. Obciążenie wynikające z przepisów tej Ustawy było jednorazowe, tj. Ustawa nie nałożyła obowiązku odprowadzania takiej składki w latach kolejnych.</t>
  </si>
  <si>
    <t>Po dokonaniu analizy przepisów prawnych, biorąc pod uwagę fakt, że podstawą wyliczenia składki solidarnościowej jest dochód podatkowy osiągnięty w roku podatkowym 2022 oraz datę wejścia w życie Ustawy nowelizującej przypadającą na wrzesień 2023 roku, Grupa ujęła w niniejszym skonsolidowanym sprawozdaniu finansowym składkę solidarnościową, na podstawie dokonanego osądu w oparciu o definicję podatku dochodowego zgodnie z MSR 12.80 (b), jako obciążenie podatkowe wyniku roku 2023 i 2024 oraz zaprezentowała w pozycji â€žPodatek dochodowyâ€ť w skonsolidowanym sprawozdaniu z wyniku finansowego i innych całkowitych dochodów.</t>
  </si>
  <si>
    <t>Podatek bieżący:</t>
  </si>
  <si>
    <t>112,4</t>
  </si>
  <si>
    <t>68,3</t>
  </si>
  <si>
    <t>- bieżące obciążenie podatkowe</t>
  </si>
  <si>
    <t>113,8</t>
  </si>
  <si>
    <t>70,1</t>
  </si>
  <si>
    <t>- korekty wykazane w bieżącym okresie w odniesieniu do podatku z lat ubiegłych</t>
  </si>
  <si>
    <t>1 609,6</t>
  </si>
  <si>
    <t>Podatek odroczony</t>
  </si>
  <si>
    <t>(1 184,7)</t>
  </si>
  <si>
    <t>199,7</t>
  </si>
  <si>
    <t>RAZEM PODATEK DOCHODOWY UJĘTY W WYNIKU NETTO (1 071,9) 1 877,6</t>
  </si>
  <si>
    <t>Uzgodnienie teoretycznego podatku wynikającego z zysku/straty przed opodatkowaniem i ustawowej stawki podatkowej do obciążenia z tytułu podatku dochodowego wykazanego w wyniku netto przedstawia się następująco:</t>
  </si>
  <si>
    <t>Zysk/(strata) przed opodatkowaniem</t>
  </si>
  <si>
    <t>Podatek wyliczony według stawki 19%</t>
  </si>
  <si>
    <t>(1 587,8)</t>
  </si>
  <si>
    <t>546,2</t>
  </si>
  <si>
    <t>Efekt podatkowy przychodów niebędących przychodami według przepisów podatkowych</t>
  </si>
  <si>
    <t>(4,3)</t>
  </si>
  <si>
    <t>Nierozpoznane aktywo z tytułu odroczonego podatku dochodowego od utworzonego odpisu aktualizującego z tytułu utraty wartości niefinansowych aktywów trwałych</t>
  </si>
  <si>
    <t>267,0</t>
  </si>
  <si>
    <t>Efekt podatkowy kosztów niestanowiących kosztów uzyskania przychodów według przepisów podatkowych</t>
  </si>
  <si>
    <t>28,0</t>
  </si>
  <si>
    <t>Efekt podatkowy kosztów stanowiących koszty uzyskania przychodów niezaliczone do kosztów księgowych</t>
  </si>
  <si>
    <t>Efekt podatkowy przychodów będących przychodami według przepisów podatkowych</t>
  </si>
  <si>
    <t>Aktywo z tytułu odroczonego podatku dochodowego od zwolnienia z CIT w ramach specjalnej strefy ekonomicznej*</t>
  </si>
  <si>
    <t>(12,1)</t>
  </si>
  <si>
    <t>Odpis aktualizujący aktywo z tytułu odroczonego podatku dochodowego</t>
  </si>
  <si>
    <t>124,7</t>
  </si>
  <si>
    <t>11,3</t>
  </si>
  <si>
    <t>Nierozpoznany podatek odroczony od straty podatkowej**</t>
  </si>
  <si>
    <t>113,5</t>
  </si>
  <si>
    <t>Korekty wykazane w bieżącym okresie w odniesieniu do podatku z lat ubiegłych</t>
  </si>
  <si>
    <t>Efekt podatkowy wynikający z możliwości odliczenia składki solidarnościowej od dochodu</t>
  </si>
  <si>
    <t>(305,8)</t>
  </si>
  <si>
    <t>OBCIĄŻENIE WYNIKU NETTO Z TYTUŁU PODATKU DOCHODOWEGO (1 071,9) 1 877,6</t>
  </si>
  <si>
    <t>* W 2020 roku JSW KOKS otrzymała decyzję Katowickiej Specjalnej Strefy Ekonomicznej S.A. dotyczącą wsparcia zadania â€žModernizacja baterii nr 4 w Koksowni Przyjaźńâ€ť w formie ulgi podatkowej, która będzie obejmowała zwolnienie z podatku dochodowego, po zakończeniu realizacji inwestycji, przychodów ze sprzedaży koksu wyprodukowanego w nowej baterii koksowniczej, do wysokości przyznanego limitu. Na dzień 31 grudnia 2024 roku JSW KOKS nie skorzystała z przedmiotowej ulgi, natomiast utworzyła aktywo na podatek odroczony z tego tytułu w wysokości 12,1 mln PLN (w 2023 roku: 24,1 mln PLN). Na dzień 31 grudnia 2024 roku stan aktywa z tytułu odroczonego podatku dochodowego z powyższego tytułu wynosi 61,1 mln PLN (na 31 grudnia 2023 roku: 49,0 mln PLN), co stanowi całą wartość ulgi możliwej do uzyskania. Data wygaśnięcia prawa do odliczenia przedmiotowej ulgi upływa w 2030 roku.</t>
  </si>
  <si>
    <t>** Pozycja dotyczy nierozliczonej straty podatkowej za 2024 rok w wysokości 597,5 mln PLN, której rozliczenie przypada na lata 2025 â€“ 2029, z czego kwota 110,6 mln PLN wygaśnie w 2028 roku, a kwota 486,9 mln PLN wygaśnie w 2029 roku (w 2023 roku pozycja dotyczyła nierozliczonej straty podatkowej za 2023 rok w wysokości 31,4 mln PLN, której data wygaśnięcia przypada na lata 2027 â€“ 2028).</t>
  </si>
  <si>
    <t>Podatek dochodowy w niniejszym skonsolidowanym sprawozdaniu finansowym za 2024 rok został ustalony według rzeczywistej efektywnej stopy podatkowej w wysokości 12,8% (za 2023 rok: 62,2%, co wynikało z ujętej w podatku dochodowym w 2023 roku składki solidarnościowej). Na ukształtowanie efektywnej stopy podatkowej w bieżącym okresie sprawozdawczym wpłynęło w głównej mierze nieujęcie przez JSW KOKS w pełnej wartości aktywa z tytułu odroczonego podatku dochodowego od straty podatkowej oraz utworzenie odpisu aktualizującego wartość aktywa na podatek odroczony. Ponadto JSW KOKS nie ujęła aktywa z tytułu odroczonego podatku dochodowego od utworzonego odpisu aktualizującego z tytułu utraty wartości niefinansowych aktywów trwałych z uwagi na brak realizowalności tego aktywa.</t>
  </si>
  <si>
    <t>- zyski/(straty) aktuarialne</t>
  </si>
  <si>
    <t>- zmiana wartości instrumentów zabezpieczających</t>
  </si>
  <si>
    <t>RAZEM PODATEK DOCHODOWY UJĘTY W INNYCH CAŁKOWITYCH DOCHODACH 14,0 (16,3)</t>
  </si>
  <si>
    <t>â€“ przypadające do realizacji po upływie 12 miesięcy</t>
  </si>
  <si>
    <t>1 835,8 904,1</t>
  </si>
  <si>
    <t>â€“ przypadające do realizacji w ciągu 12 miesięcy</t>
  </si>
  <si>
    <t>330,3 266,9</t>
  </si>
  <si>
    <t>2 166,1 1 171,0</t>
  </si>
  <si>
    <t>Zobowiązania z tytułu odroczonego podatku dochodowego przed kompensatą</t>
  </si>
  <si>
    <t>438,6 642,3</t>
  </si>
  <si>
    <t>285,8 257,7</t>
  </si>
  <si>
    <t>724,4 900,0</t>
  </si>
  <si>
    <t>1 455,6 326,2</t>
  </si>
  <si>
    <t>ZOBOWIĄZANIA Z TYTUŁU ODROCZONEGO PODATKU DOCHODOWEGO 13,9 55,2</t>
  </si>
  <si>
    <t>Nadwyżka aktywów z tytułu odroczonego podatku dochodowego nad zobowiązaniami z tytułu odroczonego podatku dochodowego - STAN NA 1 STYCZNIA</t>
  </si>
  <si>
    <t>(Obciążenie)/uznanie wyniku netto</t>
  </si>
  <si>
    <t>1 184,7 (199,7)</t>
  </si>
  <si>
    <t>(14,0) 16,3</t>
  </si>
  <si>
    <t>Nadwyżka aktywów z tytułu odroczonego podatku dochodowego nad zobowiązaniami z tytułu odroczonego podatku dochodowego - STAN NA 31 GRUDNIA</t>
  </si>
  <si>
    <t>1 441,7 271,0</t>
  </si>
  <si>
    <t>Zobowiązania z tytułu odroczonego podatku dochodowego 13,9 55,2</t>
  </si>
  <si>
    <t>AKTYWA Z TYTUŁU ODROCZONEGO PODATKU DOCHODOWEGO Zobowiązania z tytułu świadczeń pracowniczych Rezerwy Niewypła- cone wynagro- dzenia i inne świadcze- nia Strata podatkowa Wycena niefinanso- wych aktywów trwałych Zobowiąza- nia z tytułu leasingu Wycena zapasów Ulga od specjalnej strefy ekonomi- cznej Pozostałe</t>
  </si>
  <si>
    <t>Razem STAN NA 1 STYCZNIA 2023 197,2 219,1 30,8 194,5 175,7 110,6 5,1 24,9 118,8 1 076,7 (Obciążenie)/uznanie wyniku netto 33,2 54,3 (29,0) (45,1) 20,5 7,5 14,6 24,1 9,2 89,3 Zwiększenie/(zmniejszenie) innych całkowitych dochodów 18,6 - - - - - - - (2,3) 16,3 STAN NA 31 GRUDNIA 2023 249,0 273,4 1,8 149,4 196,2 118,1 19,7 49,0 125,7 1 182,3 Odpis aktualizujący (11,3) STAN NA 31 GRUDNIA 2023 (PO ODPISIE) 1 171,0 STAN NA 1 STYCZNIA 2024 249,0 273,4 1,8 149,4 196,2 118,1 19,7 49,0 125,7 1 182,3 (Obciążenie)/uznanie wyniku netto 11,9 (21,8) (0,2) 335,2 633,2 53,6 69,7 12,1 40,1 1 133,8 Zwiększenie/(zmniejszenie) innych całkowitych dochodów (15,5) - - - - - - - 1,5 (14,0) STAN NA 31 GRUDNIA 2024 245,4 251,6 1,6 484,6 829,4 171,7 89,4 61,1 167,3 2 302,1 Odpis aktualizujący (136,0) STAN NA 31 GRUDNIA 2024 (PO ODPISIE) 2 166,1</t>
  </si>
  <si>
    <t>ZOBOWIĄZANIA Z TYTUŁU ODROCZONEGO PODATKU DOCHODOWEGO Wartość wyrobisk ruchowych Zbrojenie ścian Prawo do użytkowania składnika aktywów Aktywowane koszty likwidacji zakładów górniczych Wycena pozostałych niefinansowych aktywów trwałych Inwestycje w portfel aktywów FIZ Pozostałe Razem STAN NA 1 STYCZNIA 2023 291,8 44,2 99,5 77,3 50,8 44,6 14,1 622,3 (Obciążenie)/uznanie wyniku netto 67,9 34,5 5,0 28,5 2,5 126,8 12,5 277,7 STAN NA 31 GRUDNIA 2023 359,7 78,7 104,5 105,8 53,3 171,4 26,6 900,0 (Obciążenie)/uznanie wyniku netto (132,2) (26,8) (5,7) (51,7) 13,1 (9,2) 36,9 (175,6) STAN NA 31 GRUDNIA 2024 227,5 51,9 98,8 54,1 66,4 162,2 63,5 724,4</t>
  </si>
  <si>
    <t>Grupa w 2024 roku i w 2023 roku zastosowała krańcowe stopy procentowe w wysokości od 3,18% do 11,22%.</t>
  </si>
  <si>
    <t>6.1 1 885,9 1 418,2</t>
  </si>
  <si>
    <t>6.2 614,0 640,3</t>
  </si>
  <si>
    <t>RAZEM 2 499,9 2 058,5</t>
  </si>
  <si>
    <t>długoterminowe 1 864,2 1 164,8</t>
  </si>
  <si>
    <t>635,7 893,7</t>
  </si>
  <si>
    <t>DŁUGOTERMINOWE</t>
  </si>
  <si>
    <t>1 523,2 782,4</t>
  </si>
  <si>
    <t>904,0 133,9</t>
  </si>
  <si>
    <t>Pożyczki 619,2 648,5</t>
  </si>
  <si>
    <t>KRÓTKOTERMINOWE 362,7 635,8</t>
  </si>
  <si>
    <t>Kredyty bankowe 58,7 22,7</t>
  </si>
  <si>
    <t>304,0 613,1</t>
  </si>
  <si>
    <t>RAZEM 1 885,9 1 418,2</t>
  </si>
  <si>
    <t>Analiza wymagalności zaciągniętych kredytów i pożyczek na dzień 31 grudnia 2024 roku:</t>
  </si>
  <si>
    <t>Z tego o terminie spłaty przypadającym w okresie: Waluta kredytu/pożyczki Wartość kredytu/pożyczki krótkoterminowe długoterminowe na koniec okresu sprawozdawczego od 1 roku 2 lat od 2 lat do 3 lat od 3 lat do 5 lat Powyżej 5 lat Kredyty PLN 559,5 0,5 25,8 455,8 51,6 25,8 EUR 263,3 34,7 45,7 45,7 91,5 45,7 USD 139,9 23,5 23,3 23,3 46,5 23,3 Pożyczki PLN 923,2 304,0 145,3 159,9 214,7 99,3 RAZEM 1 885,9 362,7 240,1 684,7 404,3 194,1</t>
  </si>
  <si>
    <t>Analiza wymagalności zaciągniętych kredytów i pożyczek na dzień 31 grudnia 2023 roku:</t>
  </si>
  <si>
    <t>Z tego o terminie spłaty przypadającym w okresie: Waluta kredytu/pożyczki Wartość kredytu/pożyczki krótkoterminowe długoterminowe na koniec okresu sprawozdawczego od 1 roku 2 lat od 2 lat do 3 lat od 3 lat do 5 lat Powyżej 5 lat Kredyty USD 156,6 22,7 22,3 22,3 44,7 44,6 Pożyczki PLN 1 261,6 613,1 85,3 96,2 247,8 219,2 RAZEM 1 418,2 635,8 107,6 118,5 292,5 263,8</t>
  </si>
  <si>
    <t>Niewykorzystane linie kredytowe: 40,0</t>
  </si>
  <si>
    <t>470,0</t>
  </si>
  <si>
    <t>- kredyt odnawialny B w ramach Umowy Finansowania z Konsorcjum zawartej przez JSW -</t>
  </si>
  <si>
    <t>430,0</t>
  </si>
  <si>
    <t>- linia i limit kredytowy w ramach umów zawartych przez PBSZ 40,0</t>
  </si>
  <si>
    <t>PLN 6,91%</t>
  </si>
  <si>
    <t>5,06%</t>
  </si>
  <si>
    <t>USD 6,94%</t>
  </si>
  <si>
    <t>7,90%</t>
  </si>
  <si>
    <t>EUR 5,30%</t>
  </si>
  <si>
    <t>Waluta kredytów oraz pożyczek Wycena bilansowa na dzień 31.12.2024</t>
  </si>
  <si>
    <t>Wycena bilansowa na dzień 31.12.2023</t>
  </si>
  <si>
    <t>1 388,0</t>
  </si>
  <si>
    <t>325,9</t>
  </si>
  <si>
    <t>1 254,9</t>
  </si>
  <si>
    <t>28.12.2027</t>
  </si>
  <si>
    <t>z możliwością przedłużenia na kolejne 2 lata, tj. do 28.12.2029</t>
  </si>
  <si>
    <t>PLN 430,4</t>
  </si>
  <si>
    <t>PLN 85,6</t>
  </si>
  <si>
    <t>55,7</t>
  </si>
  <si>
    <t>PLN 149,5</t>
  </si>
  <si>
    <t>149,3</t>
  </si>
  <si>
    <t>USD 139,9</t>
  </si>
  <si>
    <t>156,5</t>
  </si>
  <si>
    <t>KREDYT TERMINOWY B</t>
  </si>
  <si>
    <t>EUR 263,4</t>
  </si>
  <si>
    <t>KREDYT ŚRODOWISKOWY</t>
  </si>
  <si>
    <t>kwartalnie od marca 2026 roku</t>
  </si>
  <si>
    <t>PLN 129,1</t>
  </si>
  <si>
    <t>POŻYCZKA ŚRODOWISKOWA A</t>
  </si>
  <si>
    <t>PLN 28,5</t>
  </si>
  <si>
    <t>POŻYCZKA ŚRODOWISKOWA B</t>
  </si>
  <si>
    <t>PLN 4,0</t>
  </si>
  <si>
    <t>PLN 40,0</t>
  </si>
  <si>
    <t>46,7</t>
  </si>
  <si>
    <t>Finansowanie przedsięwzięcia â€žGospodarcze wykorzystanie metanu â€“ KWK Budrykâ€ť</t>
  </si>
  <si>
    <t>PLN 67,0</t>
  </si>
  <si>
    <t>79,7</t>
  </si>
  <si>
    <t>14.03.2024</t>
  </si>
  <si>
    <t>Finansowanie przedsięwzięcia â€žZakup 8 sztuk ciągników manewrowych akumulatorowych wraz z zestawem transportowym w KWK Budrykâ€ť</t>
  </si>
  <si>
    <t>15.12.2028</t>
  </si>
  <si>
    <t>kwartalnie od grudnia 2024 roku</t>
  </si>
  <si>
    <t>15.04.2024</t>
  </si>
  <si>
    <t>Finansowanie przedsięwzięcia â€žZakup ciągników akumulatorowych podwieszanych dla KWK â€žPniówekâ€ťâ€ť</t>
  </si>
  <si>
    <t>31.05.2030</t>
  </si>
  <si>
    <t>kwartalnie od sierpnia 2024 roku</t>
  </si>
  <si>
    <t>PLN 9,2</t>
  </si>
  <si>
    <t>Finansowanie przedsięwzięcia â€žZakup i dostawa 3 szt. fabrycznie nowych górniczych lokomotyw akumulatorowych torowych dla KWK â€žBudrykâ€ťâ€ť</t>
  </si>
  <si>
    <t>31.08.2030</t>
  </si>
  <si>
    <t>kwartalnie od listopada 2024 roku</t>
  </si>
  <si>
    <t>PLN 8,9</t>
  </si>
  <si>
    <t>497,9</t>
  </si>
  <si>
    <t>kwartalnie od czerwca 2026 roku</t>
  </si>
  <si>
    <t>PLN 72,3</t>
  </si>
  <si>
    <t>185,7</t>
  </si>
  <si>
    <t>POŻYCZKA PREFERENCYJNA Z NFOŚiGW*</t>
  </si>
  <si>
    <t>PLN 104,6</t>
  </si>
  <si>
    <t>111,5</t>
  </si>
  <si>
    <t>PLN 64,6</t>
  </si>
  <si>
    <t>75,4</t>
  </si>
  <si>
    <t>PLN 53,6</t>
  </si>
  <si>
    <t>95,0</t>
  </si>
  <si>
    <t>PLN 98,6</t>
  </si>
  <si>
    <t>1 885,9</t>
  </si>
  <si>
    <t>* Nominalna wartość pożyczki z NFOŚiGW na 31 grudnia 2024 roku wynosi 116,3 mln PLN. Zgodnie z wymogami MSR 20 â€žDotacje rządowe oraz ujawnianie informacji na temat pomocy rządowejâ€ť, ujęcie bilansowe pożyczki otrzymanej na warunkach preferencyjnych następuje w wartości godziwej. Z tego powodu faktyczna wartość zadłużenia różni się od stanu zobowiązania na dzień kończący okres sprawozdawczy o 11,7 mln PLN (na dzień 31 grudnia 2023 roku nominalna wartość zadłużenia wynosiła 126,5 mln PLN i różniła się od stanu zobowiązania na dzień kończący okres sprawozdawczy o 15,0 mln PLN).</t>
  </si>
  <si>
    <t>W dniu 30 września 2024 roku JSW dokonała całkowitej spłaty pożyczki płynnościowej oraz pożyczki preferencyjnej udzielonych przez Polski Fundusz Rozwoju w 2020 roku w ramach Programu Rządowego â€žTarcza Finansowa Polskiego Funduszu Rozwoju dla Dużych Firmâ€ť.</t>
  </si>
  <si>
    <t>Jednocześnie wygasły zabezpieczenia ww. pożyczek w postaci poręczeń udzielonych przez jednostkę zależną JSW KOKS do kwoty 964,8 mln PLN oraz jednostkę zależną JZR do kwoty 300,0 mln PLN.</t>
  </si>
  <si>
    <t>Pożyczki oraz kredyty oprocentowane są według zmiennej stopy procentowej powiększonej o marżę.</t>
  </si>
  <si>
    <t>JSW zobowiązała się w umowie do realizacji celów zgodnych z przyjętą strategią środowiskową. W przypadku niewykonania któregokolwiek z celów:</t>
  </si>
  <si>
    <t>powiązanych ze zrównoważonym rozwojem mierzonych kluczowymi wskaźnikami efektywności w danym roku obrotowym marża będzie korygowana w następujący sposób: za każdy niewykonany cel powiązany ze zrównoważonym rozwojem nastąpi podwyższenie marży o 3 punkty bazowe. Poza podwyższeniem marży Spółka przeznaczy kwotę 2 punktów bazowych za każdy niezrealizowany cel na wsparcie organizacji non â€“ profit realizującej zadania z zakresu ochrony klimatu, zrównoważonego rozwoju, edukacji ekologicznej lub odpowiedzialności społecznej. Realizacja celów powiązanych ze zrównoważonym rozwojem mierzona kluczowymi wskaźnikami efektywności (KPI) będzie podlegać weryfikacji przez zewnętrznego weryfikatora w odstępach rocznych.</t>
  </si>
  <si>
    <t>W 2024 roku w ramach Umowy Finansowania z Konsorcjum z dnia 12 kwietnia 2023 roku uruchomiono następujące transze:</t>
  </si>
  <si>
    <t>â–Ş w dniu 18 kwietnia 2024 roku transzę kredytu środowiskowego w kwocie 51,0 mln PLN oraz transze pożyczek środowiskowych w łącznej kwocie 22,6 mln PLN,</t>
  </si>
  <si>
    <t>â–Ş w dniu 9 maja 2024 roku uruchomiono transzę pożyczki terminowej A w kwocie 38,1 mln PLN oraz transzę kredytu terminowego B w wysokości 62,0 mln EUR,</t>
  </si>
  <si>
    <t>â–Ş w dniu 15 maja 2024 roku uruchomiono transzę kredytu odnawialnego B w kwocie 430,0 mln PLN,</t>
  </si>
  <si>
    <t>â–Ş w dniu 25 lipca 2024 roku uruchomiono transzę kredytu środowiskowego w kwocie 33,9 mln PLN oraz transze pożyczek środowiskowych w łącznej kwocie 15,0 mln PLN,</t>
  </si>
  <si>
    <t>â–Ş w dniu 24 października 2024 roku uruchomiono transzę kredytu środowiskowego w kwocie 25,2 mln PLN oraz transze pożyczek środowiskowych w łącznej kwocie 11,1 mln PLN,</t>
  </si>
  <si>
    <t>â–Ş w dniu 23 grudnia 2024 roku uruchomiono transzę kredytu środowiskowego w kwocie 22,0 mln PLN oraz transze pożyczek środowiskowych w łącznej kwocie 9,7 mln PLN.</t>
  </si>
  <si>
    <t>Po dniu kończącym okres sprawozdawczy, tj. w dniu 28 lutego 2025 roku uruchomiono transzę kredytu środowiskowego w kwocie 21,7 mln PLN oraz transze pożyczek środowiskowych w łącznej kwocie 9,6 mln PLN.</t>
  </si>
  <si>
    <t>Umowa Finansowania z Konsorcjum nakłada na JSW oraz inne spółki Grupy szereg zobowiązań umownych, których niespełnienie może stanowić przypadek naruszenia umowy. Zgodnie z zapisami umownymi istnieje m.in. obowiązek dostarczenia wraz z rocznymi sprawozdaniami JSW, w terminie 180 dni od zakończenia roku, aktualizacji modelu finansowego. W dniach 12 czerwca 2024 roku oraz 31 października 2024 roku Konsorcjum wyraziło zgodę na przesunięcie terminu dostarczenia modelu finansowego do dnia 31 grudnia 2024 roku â€“ model finansowy został dostarczony w ustalonym terminie. Według szacunków przeprowadzonych na dzień zatwierdzenia niniejszego skonsolidowanego sprawozdania finansowego wynikające z Umowy Finansowania zobowiązania umowne, których niespełnienie stanowi przypadek naruszenia umowy, w tym wskaźniki finansowe na dzień 31 grudnia 2024 roku, zostały spełnione.</t>
  </si>
  <si>
    <t>Jednocześnie, według szacunków przeprowadzonych na dzień zatwierdzenia niniejszego skonsolidowanego sprawozdania finansowego, wynikające z Umowy Finasowania zobowiązanie do zapewnienia łącznego udziału EBITDA Poręczycieli oraz JSW w sumie EBITDA Grupy według stanu na 31 grudnia 2024 roku nie zostanie spełnione. Niedotrzymanie tego zobowiązania nie stanowi przypadku naruszenia umowy, natomiast nakłada na JSW obowiązek zapewnienia, aby inny podmiot z Grupy zaproponowany przez JSW oraz zaakceptowany przez Konsorcjum, został bez zbędnej zwłoki, lecz nie później niż w terminie 60 dni od daty dostarczenia zaświadczenia o zgodności, dodatkowym poręczycielem.</t>
  </si>
  <si>
    <t>Zgodnie z Umową Finansowania istnieje również zobowiązanie do utrzymania wysokości wskaźnika Zadłużenie Finansowe Netto/EBITDA na poziomie nie przekraczającym 3,3x. Kalkulacja wskaźnika na dzień zatwierdzenia niniejszego skonsolidowanego sprawozdania finansowego wskazuje, że wskaźnik za rok 2024 zostanie spełniony (kalkulacja ta wymaga odrębnego potwierdzenia przez biegłego rewidenta, co będzie miało miejsce po publikacji niniejszego sprawozdania).</t>
  </si>
  <si>
    <t>Po dniu kończącym okres sprawozdawczy, tj. w dniu 20 marca 2025 roku, Konsorcjum zrzekło się uprawnień im przysługujących w związku z niewypełnieniem:</t>
  </si>
  <si>
    <t>â–Ş zobowiązania by łączny udział EBITDA Poręczycieli oraz JSW w sumie EBITDA Grupy wynosił nie mniej niż 85% w okresach obliczeniowych kończących się w datach 31 grudnia 2024 roku oraz 31 marca 2025 roku,</t>
  </si>
  <si>
    <t>â–Ş wskaźnika Zadłużenie Finansowe Netto/EBITDA w dacie 31 marca 2025 roku.</t>
  </si>
  <si>
    <t>Umowa Finansowania obliguje JSW również do wypełnienia wskaźników określonych jako Cele Powiązane ze Zrównoważonym Rozwojem mierzone Wskaźnikami Efektywności (dotyczące śladu węglowego, ujęcia i zagospodarowania metanu). Szacuje się, iż za rok 2024 nie wszystkie Wskaźniki Efektywności zostaną wypełnione, co będzie skutkowało podwyższeniem marży kredytowej oraz koniecznością przeznaczenia przez Jednostkę dominującą środków na wsparcie działalności dowolnie wybranej przez siebie organizacji non-profit realizującej zadania z zakresu ochrony klimatu, zrównoważonego rozwoju, edukacji ekologicznej lub odpowiedzialności społecznej.</t>
  </si>
  <si>
    <t>POZOSTAŁE UMOWY FINANSOWANIA W JSW</t>
  </si>
  <si>
    <t>â–Ş W dniu 14 marca 2024 roku JSW podpisała umowę pożyczki do kwoty 10,0 mln PLN z Wojewódzkim Funduszem Ochrony Środowiska i Gospodarki Wodnej w Katowicach (â€žWFOŚiGWâ€ť). Przeznaczeniem pożyczki jest dofinansowanie zadania pod nazwą: â€žZakup 8 sztuk ciągników manewrowych akumulatorowych wraz z zestawem transportowym w KWK Budrykâ€ť. Ustanowiono zabezpieczanie pożyczki w postaci przelewu wierzytelności z rachunku lokaty terminowej w wysokości 10,4 mln PLN.W dniu 25 czerwca 2024 roku dokonano wypłaty pożyczki w kwocie 9,5 mln PLN. W dniu 2 sierpnia 2024 roku podpisano aneks do umowy pożyczki, na podstawie którego została zmniejszona całkowita wartość pożyczki do kwoty 9,5 mln PLN, zmieniono harmonogram spłaty, a także zmniejszono wartość wymaganego zabezpieczenia w postaci przelewu wierzytelności z rachunku lokaty terminowej. Według nowego harmonogramu spłata pierwszej raty pożyczki przypada w grudniu 2024 roku, natomiast ostateczny termin spłaty pożyczki przypada w grudniu 2028 roku.</t>
  </si>
  <si>
    <t>â–Ş W dniu 9 kwietnia 2024 roku JSW podpisała kolejny aneks do umowy pożyczki z dnia 20 lipca 2021 roku z Narodowym Funduszem Ochrony Środowiska i Gospodarki Wodnej (â€žNFOŚiGWâ€ť) o dofinansowanie przedsięwzięcia pod nazwą: â€žRekultywacja terenu położonego pomiędzy rzeką â€žSzotkówkąâ€ť, a zwałowiskiem â€žPochwacieâ€ť w Połomii â€“ Etap IIâ€ť. Zgodnie z zaktualizowanym harmonogramem spłata pożyczki nastąpi od marca 2029 roku, a ostateczna spłata nastąpi w grudniu 2030 roku. W dniu 19 grudnia 2024 uruchomiono transzę pożyczki w kwocie 1,7 mln PLN.</t>
  </si>
  <si>
    <t>â–Ş W dniu 15 kwietnia 2024 roku JSW podpisała umowę pożyczki do kwoty 10,0 mln PLN z WFOŚiGW o dofinansowanie zadania pod nazwą: â€žZakup ciągników akumulatorowych podwieszanych dla KWK Pniówekâ€ť. Ustanowiono zabezpieczanie pożyczki w postaci przelewu wierzytelności z rachunku lokaty terminowej w wysokości 10,4 mln PLN. W dniu 20 czerwca 2024 roku dokonano wypłaty pożyczki w kwocie 10,0 mln PLN.</t>
  </si>
  <si>
    <t>â–Ş W dniu 15 kwietnia 2024 roku JSW podpisała umowę pożyczki do kwoty 4,1 mln PLN z WFOŚiGW o dofinansowanie zadania pod nazwą: â€žZakup i dostawa 3 szt. fabrycznie nowych górniczych lokomotyw akumulatorowych torowych dla KWK Budrykâ€ť.</t>
  </si>
  <si>
    <t>â–Ş Ustanowiono zabezpieczanie pożyczki w postaci przelewu wierzytelności z rachunku lokaty terminowej w wysokości 4,3 mln PLN. W dniu 25 czerwca 2024 roku dokonano wypłaty pożyczki w kwocie 4,1 mln PLN. W kwietniu 2024 roku zakończono proces zwalniania zabezpieczeń wynikających z Umowy Finansowania zawartej przez JSW z Konsorcjum w dniu 9 kwietnia 2019 roku.</t>
  </si>
  <si>
    <t>â–Ş W dniu 12 stycznia 2024 roku, w ramach umowy pożyczki JSW KOKS z NFOŚiGW podpisanej w dniu 11 sierpnia 2023 roku, dotyczącej przedsięwzięcia pod nazwą â€žPoprawa efektywności energetycznej w JSW KOKSâ€ť, została wypłacona transza w wysokości 112,6 mln PLN. W związku z nieosiągnięciem efektu ekologicznego na dzień 31 grudnia 2024 roku pożyczka w wysokości 98,6 mln PLN została zaklasyfikowana jako pożyczka krótkoterminowa. JSW KOKS podjęła działania mające na celu wywiązanie się z naruszonych warunków umowy poprzez procedowanie kolejnego aneksu. Po dniu kończącym okres sprawozdawczy, w dniu 19 lutego 2025 roku Zarząd JSW KOKS zaakceptował treść aneksu wprowadzającego zmianę terminu osiągnięcia wskaźników rezultatu bezpośredniego (tzw. efektu ekologicznego) do dnia 31 grudnia 2026 roku oraz treść aneksu, na mocy którego zmniejszono wartość pożyczki z kwoty 150,0 mln PLN do kwoty 128,4 mln PLN oraz zaktualizowano harmonogram spłat pożyczki, zgodnie z którym ostateczna spłata nastąpi w marcu 2030 roku. Aneksy zostały podpisane w dniu 3 marca 2025 roku.</t>
  </si>
  <si>
    <t>â–Ş W dniach 12 lutego, 21 czerwca oraz 30 września 2024 roku JSW KOKS podpisała aneksy do umowy pożyczki z dnia 12 sierpnia 2020 roku z WFOŚiGW o dofinansowanie przedsięwzięcia pod nazwą: â€žBudowa bloku energetycznego w Koksowni Radlinâ€ť. Na mocy aneksów zaktualizowano harmonogram spłat pożyczki. Zgodnie z zaktualizowanym harmonogramem spłata pożyczki nastąpi od czerwca 2025 roku, a ostateczna spłata nastąpi w grudniu 2030 roku. W związku z nieosiągnięciem efektu rzeczowego na dzień 31 grudnia 2024 roku pożyczka w wysokości 34,2 mln PLN została zaklasyfikowana jako pożyczka krótkoterminowa. JSW KOKS podjęła działania mające na celu wywiązanie się z naruszonych warunków umowy poprzez procedowanie kolejnego aneksu. Po dniu kończących okres sprawozdawczy, tj. w dniu 28 lutego 2025 roku został podpisany aneks, na mocy którego przedłużono termin zakończenia projektu do dnia 31 grudnia 2025 roku oraz zaktualizowano harmonogram spłat pożyczki, zgodnie z którym spłata pożyczki nastąpi od czerwca 2026 roku).</t>
  </si>
  <si>
    <t>â–Ş W dniu 18 marca 2024 roku wypłacono JSW KOKS kolejną transzę pożyczki w wysokości 4,3 mln PLN, wynikającą z umowy zawartej z NFOŚiGW o dofinansowanie w formie pożyczki przedsięwzięcia â€žModernizacja baterii koksowniczej nr 4 w Koksowni Przyjaźńâ€ť z dnia 17 października 2018 roku. W dniu 26 marca 2024 roku JSW KOKS dokonała zwrotu niewykorzystanej części zaliczki z tytułu wyżej wymienionej pożyczki w wysokości 117,6 mln PLN, którą otrzymała w 2023 roku w wysokości 130,0 mln PLN i która zgodnie z obowiązującymi zapisami umowy powinna zostać rozliczona do 31 marca 2024 roku. W dniu 31 października 2024 roku JSW KOKS podpisała aneks do ww. umowy, na mocy którego zaktualizowano harmonogram spłat pożyczki oraz termin zakończenia projektu. Zgodnie z zaktualizowanym harmonogramem spłata pożyczki nastąpi od czerwca 2026 roku, a ostateczna spłata nastąpi w grudniu 2030 roku.</t>
  </si>
  <si>
    <t>â–Ş W dniu 24 czerwca 2024 roku JSW KOKS dokonała zwrotu niewykorzystanej części zaliczki w wysokości 41,4 mln PLN w ramach umowy zawartej z NFOŚiGW o dofinansowanie w formie pożyczki przedsięwzięcia â€žModernizacja baterii koksowniczej nr 4 w Koksowni Przyjaźńâ€ť z dnia 1 marca 2023 roku, którą otrzymała w 2023 roku w wysokości 95,0 mln PLN i która zgodnie z obowiązującymi zapisami umowy powinna zostać rozliczona do 30 czerwca 2024 roku. W dniu 31 października 2024 roku JSW KOKS podpisała aneks do ww. umowy, na mocy którego zaktualizowano harmonogram wypłat i spłat pożyczki oraz termin zakończenia projektu. Zgodnie z zaktualizowanym harmonogramem spłata pożyczki nastąpi od czerwca 2026 roku, a ostateczna spłata nastąpi w grudniu 2030 roku.</t>
  </si>
  <si>
    <t>â–Ş Dnia 23 grudnia 2024 roku został podpisany aneks do umowy pożyczki z dnia 13 grudnia 2021 roku zawartej przez JSW KOKS z WFOŚiGW na mocy którego zaktualizowano harmonogram spłat pożyczki oraz termin zakończenia projektu. Zgodnie z zaktualizowanym harmonogramem spłata pożyczki nastąpi od marca 2026 roku, a ostateczna spłata nastąpi we wrześniu 2031 roku.</t>
  </si>
  <si>
    <t>W dniu 12 sierpnia 2024 roku JSW KOKS zawarła aneks do umowy z dnia 15 września 2022 roku z Bankiem PKO BP S.A. o udzielenie gwarancji bankowej w kwocie 14,0 mln PLN na zabezpieczenie wierzytelności WFOŚiGW z tytułu ww. umowy pożyczki. Na mocy aneksu wydłużono okres obowiązywania gwarancji bankowej do dnia 14 września 2025 roku.</t>
  </si>
  <si>
    <t>â–Ş W związku z nieosiągnięciem efektu ekologicznego wynikającego z umowy pożyczki z dnia 19 grudnia 2018 roku zawartej przez JSW KOKS z NFOŚiGW, na dzień 31 grudnia 2024 roku pożyczka w wysokości 104,6 mln PLN została zaklasyfikowana jako pożyczka krótkoterminowa. JSW KOKS podejmuje działania mające na celu wywiązanie się z naruszonych warunków umowy poprzez procedowanie kolejnego aneksu. Po dniu kończącym okres sprawozdawczy, w dniu 19 lutego 2025 roku Zarząd JSW KOKS zaakceptował treść aneksu wprowadzającego zmianę terminu osiągniecia wskaźników rezultatu bezpośredniego ( tzw. efektu ekologicznego) do dnia 31 grudnia 2026 roku. Aneks został podpisany w dniu 3 marca 2025 roku.</t>
  </si>
  <si>
    <t>Efekty ekologiczne określone w powyższych umowach pożyczek różnią się w zależności od umowy, natomiast ich nieosiągnięcie może się wiązać z natychmiastową wymagalnością.</t>
  </si>
  <si>
    <t>UMOWA LINII WIELOCELOWEJ Z BGK DLA PBSZ</t>
  </si>
  <si>
    <t>Łączne zaangażowanie z tytułu wszystkich produktów nie może przekroczyć kwoty limitu 20,0 mln PLN.</t>
  </si>
  <si>
    <t>W dniu 22 stycznia 2024 roku podpisano kolejny aneks do umowy wydłużający jej obowiązywanie o kolejne dwa lata tj. do dnia 22 stycznia 2026 roku. Na dzień 31 grudnia 2024 roku nie wykorzystano linii wielocelowej.</t>
  </si>
  <si>
    <t>UMOWA LIMITU KREDYTOWEGO WIELOCELOWEGO Z PKO BP S.A. DLA PBSZ</t>
  </si>
  <si>
    <t>W dniu 13 lutego 2024 roku został podpisany aneks do umowy, wydłużający jej obowiązywanie o kolejne dwa lata, tj. do dnia 16 lutego 2026 roku. Na dzień 31 grudnia 2024 roku nie wykorzystano linii wielocelowej.</t>
  </si>
  <si>
    <t>â–Ş hipoteki na nieruchomościach do wysokości 957,2 mln PLN,</t>
  </si>
  <si>
    <t>â–Ş zastawy rejestrowe na rzeczach ruchomych do wysokości 455,9 mln PLN,</t>
  </si>
  <si>
    <t>Spłata (kapitału) FINANSOWANIE UDZIELONE JSW: 951,5 (405,8)</t>
  </si>
  <si>
    <t>UMOWY POŻYCZEK Z PFR, w tym: - (354,9)</t>
  </si>
  <si>
    <t>(354,0)</t>
  </si>
  <si>
    <t>â€’ POŻYCZKA PŁYNNOŚCIOWA - (327,2)</t>
  </si>
  <si>
    <t>(326,4)</t>
  </si>
  <si>
    <t>â€’ POŻYCZKA PREFERENCYJNA - (27,7)</t>
  </si>
  <si>
    <t>(27,6)</t>
  </si>
  <si>
    <t>UMOWA FINANSOWANIA Z KONSORCJUM Z 2023 ROKU, w tym: 926,2 (30,7)</t>
  </si>
  <si>
    <t>395,2</t>
  </si>
  <si>
    <t>(23,6)</t>
  </si>
  <si>
    <t>â€’ POŻYCZKA TERMINOWA A 38,1 (7,9)</t>
  </si>
  <si>
    <t>61,9</t>
  </si>
  <si>
    <t>â€’ POŻYCZKA TERMINOWA B - -</t>
  </si>
  <si>
    <t>150,0</t>
  </si>
  <si>
    <t>â€’ KREDYT TERMINOWY A - (22,8)</t>
  </si>
  <si>
    <t>183,3</t>
  </si>
  <si>
    <t>(17,6)</t>
  </si>
  <si>
    <t>â€’ KREDYT TERMINOWY B 267,6 -</t>
  </si>
  <si>
    <t>â€’ KREDYT ODNAWIALNY 430,0 -</t>
  </si>
  <si>
    <t>â€’ KREDYT ŚRODOWISKOWY 132,1 -</t>
  </si>
  <si>
    <t>â€’ POŻYCZKA ŚRODOWISKOWA A 29,2 -</t>
  </si>
  <si>
    <t>â€’ POŻYCZKA ŚRODOWISKOWA B 29,2 -</t>
  </si>
  <si>
    <t>UMOWA FINANSOWANIA Z KONSORCJUM Z 2019 ROKU, w tym: - -</t>
  </si>
  <si>
    <t>(273,1)</t>
  </si>
  <si>
    <t>â€’ POŻYCZKA TERMINOWA - -</t>
  </si>
  <si>
    <t>â€’ KREDYT TERMINOWY A i C - -</t>
  </si>
  <si>
    <t>(206,4)</t>
  </si>
  <si>
    <t>â€’ KREDYT ODNAWIALNY B - -</t>
  </si>
  <si>
    <t>POZOSTAŁE UMOWY: 25,3 (20,2)</t>
  </si>
  <si>
    <t>87,3</t>
  </si>
  <si>
    <t>â€’ POŻYCZKA Z NFOŚiGW z 20.07.2021 1,7 -</t>
  </si>
  <si>
    <t>â€’ POŻYCZKA Z NFOŚiGW z 08.11.2021 - (6,7)</t>
  </si>
  <si>
    <t>â€’ POŻYCZKA Z NFOŚiGW z 04.10.2023 - (12,0)</t>
  </si>
  <si>
    <t>â€’ POŻYCZKA Z WFOŚiGW z 14.03.2024 9,5 (0,6)</t>
  </si>
  <si>
    <t>â€’ POŻYCZKA Z WFOŚiGW z 15.04.2024 10,0 (0,8)</t>
  </si>
  <si>
    <t>â€’ POŻYCZKA Z WFOŚiGW z 15.04.2024 4,1 (0,1)</t>
  </si>
  <si>
    <t>- FINANSOWANIE UDZIELONE JSW KOKS: 123,6 (204,2)</t>
  </si>
  <si>
    <t>313,6</t>
  </si>
  <si>
    <t>(6,2) â€’ POŻYCZKA PREFERENCYJNA Z NFOŚiGW 6,7 (17,7)</t>
  </si>
  <si>
    <t>(0,8)* â€’ POŻYCZKA Z NFOŚiGW z 01.09.2021 - (10,8)</t>
  </si>
  <si>
    <t>(5,4) â€’ POŻYCZKA Z NFOŚiGW z 17.10.2018 4,3 (117,6)*</t>
  </si>
  <si>
    <t>- â€’ POŻYCZKA Z NFOŚiGW z 01.03.2023 (41,4)*</t>
  </si>
  <si>
    <t>- â€’ POŻYCZKA Z NFOŚiGW z 11.08.2023 112,6 (16,7)</t>
  </si>
  <si>
    <t>- RAZEM PRZEPŁYWY PIENIĘŻNE 1 075,1 (610,0)</t>
  </si>
  <si>
    <t>614,0 640,3</t>
  </si>
  <si>
    <t>RAZEM 614,0 640,3</t>
  </si>
  <si>
    <t>długoterminowe 341,0 382,4</t>
  </si>
  <si>
    <t>273,0 257,9</t>
  </si>
  <si>
    <t>611,5 636,4</t>
  </si>
  <si>
    <t>2,5 3,9 RAZEM 614,0 640,3</t>
  </si>
  <si>
    <t>Zmianę stanu zadłużenia na dzień 31 grudnia 2024 roku przedstawia poniższa tabela:</t>
  </si>
  <si>
    <t>RAZEM STAN NA 1 STYCZNIA 2024 1 418,2 640,3 2 058,5 Wpływy z tytułu zaciągnięcia zadłużenia - otrzymane finansowanie 1 075,1 - 1 075,1 Zawarcie nowych umów leasingu - 203,3 203,3 Modyfikacje umów leasingowych - 2,9 2,9 Naliczone odsetki i prowizje 114,9 48,1 163,0 Płatności z tytułu zadłużenia: (723,6) (274,9) (998,5) â€’ spłata zobowiązania (kapitału) (610,0) (229,7) (839,7) â€’ odsetki i prowizje zapłacone (69,1) (34,5) (103,6) â€’ zapłacone odsetki i prowizje stanowiące aktywowane koszty finansowania zewnętrznego (44,5) (10,7) (55,2) Różnice kursowe 3,1 (0,2) 2,9 Inne zwiększenia/(zmniejszenia) (1,8) (5,5) (7,3) STAN NA 31 GRUDNIA 2024 1 885,9 614,0 2 499,9</t>
  </si>
  <si>
    <t>Wpływy z tytułu zaciągnięcia zadłużenia - otrzymane finansowanie</t>
  </si>
  <si>
    <t>Zawarcie nowych umów leasingu</t>
  </si>
  <si>
    <t>275,2</t>
  </si>
  <si>
    <t>72,9</t>
  </si>
  <si>
    <t>45,7</t>
  </si>
  <si>
    <t>118,6</t>
  </si>
  <si>
    <t>(727,0)</t>
  </si>
  <si>
    <t>(265,1)</t>
  </si>
  <si>
    <t>(992,1)</t>
  </si>
  <si>
    <t>(889,5)</t>
  </si>
  <si>
    <t>(33,8)</t>
  </si>
  <si>
    <t>(69,6)</t>
  </si>
  <si>
    <t>(11,4)</t>
  </si>
  <si>
    <t>(20,5)</t>
  </si>
  <si>
    <t>(20,9)</t>
  </si>
  <si>
    <t>2 058,5</t>
  </si>
  <si>
    <t>â–Ş Budynki i budowle (w tym wyrobiska kapitalne) 2 - 88 lat,</t>
  </si>
  <si>
    <t>â–Ş Środki transportu 1 - 55 lat,</t>
  </si>
  <si>
    <t>â–Ş Inne rzeczowe aktywa trwałe 1 â€“ 37 lat,</t>
  </si>
  <si>
    <t>Grupa określa szacowane okresy użytkowania, a poprzez to stawki amortyzacji dla poszczególnych rzeczowych aktywów trwałych. Szacunek ten opiera się na oczekiwanym okresie ekonomicznej użyteczności tych aktywów. Poprawność stosowanych okresów i stawek amortyzacyjnych oraz wartość końcowa rzeczowych aktywów trwałych podlegają corocznej weryfikacji raz w roku w IV kwartale, w celu dokonania odpowiednich korekt odpisów amortyzacyjnych począwszy od następnego roku obrotowego. Weryfikacja stawek amortyzacyjnych rzeczowych aktywów trwałych przeprowadzona w IV kwartale 2023 roku spowodowała spadek amortyzacji w 2024 roku względem roku poprzedniego o 84,8 mln PLN. Natomiast weryfikacja stawek amortyzacyjnych przeprowadzona w IV kwartale 2024 roku spowoduje wzrost amortyzacji w kolejnym roku o 3,0 mln PLN.</t>
  </si>
  <si>
    <t>Nota Grunty Budynki i budowle Wyrobiska ruchowe * Zbrojenie ścian * Urządzenia techniczne i maszyny Inne rzeczowe aktywa trwałe Rzeczowe aktywa trwałe w budowie ** Razem STAN NA 1 STYCZNIA 2024 Wartość brutto 83,1 9 990,7 1 893,0 414,3 9 717,6 659,7 2 974,2 25 732,6 Umorzenie *** (11,4) (5 286,3) - - (6 718,6) (468,5) (224,7) (12 709,5) WARTOŚĘ† KSIĘGOWA NETTO 71,7 4 704,4 1 893,0 414,3 2 999,0 191,2 2 749,5 13 023,1 Nakłady inwestycyjne - - 871,4 497,8 - - 2 329,6 3 698,8 Zwiększenia 0,5 0,1 - - 7,6 5,7 1,3 15,2 Aktywowane koszty finansowania zewnętrznego - - - - - - 55,2 55,2 Aktualizacja rezerwy na koszty likwidacji zakładu górniczego - (128,0) - - - - - (128,0) Przesunięcia z inwestycji rozpoczętych 6,0 678,5 - - 910,2 111,5 (1 706,2) - Zmniejszenia (0,3) (18,0) (6,2) - (3,5) (4,1) - (32,1) Amortyzacja - (152,8) (554,3) (442,8) (284,7) (59,5) - (1 494,1) Odpis aktualizujący - utworzenie 7.4 (30,2) (2 214,1) (1 015,4) (196,3) (1 814,2) (61,8) (1 427,2) (6 759,2) Odpis aktualizujący - odwrócenie 7.4 2,3 320,5 8,8 - 119,0 2,3 51,3 504,2 WARTOŚĘ† KSIĘGOWA NETTO 50,0 3 190,6 1 197,3 273,0 1 933,4 185,3 2 053,5 8 883,1</t>
  </si>
  <si>
    <t>Nota Grunty Budynki i budowle Wyrobiska ruchowe * Zbrojenie ścian * Urządzenia techniczne i maszyny Inne rzeczowe aktywa trwałe Rzeczowe aktywa trwałe w budowie ** Razem STAN NA 31 GRUDNIA 2024 Wartość brutto 89,0 10 662,1 1 197,3 273,0 10 447,1 754,2 3 350,3 26 773,0 Umorzenie *** (39,0) (7 471,5) - - (8 513,7) (568,9) (1 296,8) (17 889,9) WARTOŚĘ† KSIĘGOWA NETTO 50,0 3 190,6 1 197,3 273,0 1 933,4 185,3 2 053,5 8 883,1</t>
  </si>
  <si>
    <t>* Aktywowane koszty wyrobisk ruchowych i zbrojenia ścian są rozliczane zgodnie z wielkością wydobycia węgla z danego rejonu ścianowego/ze zbrojonej ściany. W momencie rozliczenia następuje, co do zasady, faktyczna likwidacja wyrobiska ruchowego/zbrojonej ściany, stąd brak jest w tabeli wartości skumulowanego umorzenia.</t>
  </si>
  <si>
    <t>** Poniesione przez Grupę nakłady na inwestycje (za wyjątkiem nakładów na wyrobiska ruchowe i zbrojenie ścian) gromadzone są w â€žRzeczowych aktywach trwałych w budowieâ€ť, a w miesiącu oddania do użytkowania przenoszone są do odpowiedniej grupy rodzajowej rzeczowych aktywów trwałych.</t>
  </si>
  <si>
    <t>*** Pozycja obejmuje umorzenie oraz odpisy aktualizujące rzeczowe aktywa trwałe.</t>
  </si>
  <si>
    <t>Wyrobiska ruchowe *</t>
  </si>
  <si>
    <t>Zbrojenie ścian *</t>
  </si>
  <si>
    <t>Rzeczowe aktywa trwałe w budowie **</t>
  </si>
  <si>
    <t>Umorzenie ***</t>
  </si>
  <si>
    <t>1 028,8</t>
  </si>
  <si>
    <t>587,3</t>
  </si>
  <si>
    <t>2 444,5</t>
  </si>
  <si>
    <t>4 060,6</t>
  </si>
  <si>
    <t>18,6 Aktywowane koszty finansowania zewnętrznego</t>
  </si>
  <si>
    <t>33,0</t>
  </si>
  <si>
    <t>160,9</t>
  </si>
  <si>
    <t>324,1</t>
  </si>
  <si>
    <t>849,3</t>
  </si>
  <si>
    <t>86,1</t>
  </si>
  <si>
    <t>(1 262,3)</t>
  </si>
  <si>
    <t>(12,0)</t>
  </si>
  <si>
    <t>(12,2)</t>
  </si>
  <si>
    <t>(5,7)</t>
  </si>
  <si>
    <t>(32,5)</t>
  </si>
  <si>
    <t>(185,8)</t>
  </si>
  <si>
    <t>(559,7)</t>
  </si>
  <si>
    <t>(394,0)</t>
  </si>
  <si>
    <t>(343,3)</t>
  </si>
  <si>
    <t>(37,7)</t>
  </si>
  <si>
    <t>(1 520,5)</t>
  </si>
  <si>
    <t>(99,7)</t>
  </si>
  <si>
    <t>(67,8)</t>
  </si>
  <si>
    <t>(223,7)</t>
  </si>
  <si>
    <t>Odpis aktualizujący - inne ****</t>
  </si>
  <si>
    <t>4,3</t>
  </si>
  <si>
    <t>71,7</t>
  </si>
  <si>
    <t>4 704,4</t>
  </si>
  <si>
    <t>1 893,0</t>
  </si>
  <si>
    <t>414,3</t>
  </si>
  <si>
    <t>2 999,0</t>
  </si>
  <si>
    <t>191,2</t>
  </si>
  <si>
    <t>2 749,5</t>
  </si>
  <si>
    <t>83,1</t>
  </si>
  <si>
    <t>9 990,7</t>
  </si>
  <si>
    <t>9 717,6</t>
  </si>
  <si>
    <t>659,7</t>
  </si>
  <si>
    <t>2 974,2</t>
  </si>
  <si>
    <t>25 732,6</t>
  </si>
  <si>
    <t>(5 286,3)</t>
  </si>
  <si>
    <t>(6 718,6)</t>
  </si>
  <si>
    <t>(468,5)</t>
  </si>
  <si>
    <t>(224,7)</t>
  </si>
  <si>
    <t>(12 709,5)</t>
  </si>
  <si>
    <t>1 479,9</t>
  </si>
  <si>
    <t>1 505,8</t>
  </si>
  <si>
    <t>Wartość świadczeń i rzeczowych aktywów trwałych wytworzonych na potrzeby własne (w tym wyrobisk ruchowych i zbrojenia ścian)</t>
  </si>
  <si>
    <t>RAZEM AMORTYZACJA RZECZOWYCH AKTYWÓW TRWAŁYCH</t>
  </si>
  <si>
    <t>1 494,1</t>
  </si>
  <si>
    <t>1 520,5</t>
  </si>
  <si>
    <t>rozliczenie wyrobisk ruchowych</t>
  </si>
  <si>
    <t>554,3</t>
  </si>
  <si>
    <t>559,7</t>
  </si>
  <si>
    <t>rozliczenie zbrojenia ścian</t>
  </si>
  <si>
    <t>442,8</t>
  </si>
  <si>
    <t>394,0</t>
  </si>
  <si>
    <t>Na dzień 31 grudnia 2024 roku wartość netto rzeczowych aktywów trwałych stanowiących zabezpieczenie spłaty zobowiązań wynosi 1 430,6 mln PLN (na dzień 31 grudnia 2023 roku: 2 083,9 mln PLN) i dotyczy zabezpieczenia spłaty wierzytelności wynikających z umów finansowania dłużnego. Zabezpieczenia kredytów i pożyczek zostały opisane w Nocie 6.1.</t>
  </si>
  <si>
    <t>W 2024 roku Grupa ujęła w rzeczowych aktywach trwałych koszty finansowania zewnętrznego w wysokości 55,2 mln PLN. Stopa kapitalizacji kosztów finansowania zewnętrznego w 2024 roku wyniosła 5,59% (w 2023 roku Grupa ujęła w rzeczowych aktywach trwałych koszty finansowania zewnętrznego w wysokości 33,0 mln PLN, stopa kapitalizacji kosztów finansowania zewnętrznego w 2023 roku wyniosła 5,60%.)</t>
  </si>
  <si>
    <t>W wartościach niematerialnych Jednostka dominująca prezentuje świadectwa pochodzenia energii nabyte w celu spełnienia obowiązku przedstawienia ich do umorzenia wynikającego z przepisów Prawa energetycznego. Ustawa o odnawialnych źródłach energii daje spółce posiadającej status odbiorcy przemysłowego, możliwość samodzielnego zakupu i przedstawienia do umorzenia praw majątkowych wynikających ze świadectw pochodzenia energii lub uiszczenia tzw. opłaty zastępczej. Prawa majątkowe wynikające ze świadectw pochodzenia energii wytworzonej w odnawialnych źródłach energii powstają z chwilą zapisania ich w rejestrze świadectw, a wygasają z chwilą ich umorzenia. Termin wykonania obowiązku umorzenia świadectw pochodzenia lub poniesienia opłat zastępczych za dany rok upływa z dniem 30 czerwca następnego roku.</t>
  </si>
  <si>
    <t>â–Ş Informacja geologiczna 5-73 lat,</t>
  </si>
  <si>
    <t>â–Ş Autorskie prawa majątkowe 2-56 lat,</t>
  </si>
  <si>
    <t>Grupa określa szacowane okresy użytkowania, a poprzez to stawki amortyzacji dla poszczególnych wartości niematerialnych. Szacunek ten opiera się na oczekiwanym okresie ekonomicznej użyteczności tych aktywów. Poprawność stosowanych okresów i stawek amortyzacyjnych oraz wartość końcowa wartości niematerialnych podlegają corocznej weryfikacji raz w roku w IV kwartale, w celu dokonania odpowiednich korekt odpisów amortyzacyjnych począwszy od następnego roku obrotowego. Przeprowadzona w IV kwartale 2023 roku weryfikacja stawek amortyzacyjnych wartości niematerialnych nie skutkowała zmianami w amortyzacji w 2024 roku. Podobnie weryfikacja stawek amortyzacyjnych przeprowadzona w IV kwartale 2024 roku spowoduje spadek amortyzacji w kolejnym roku o 0,8 mln PLN.</t>
  </si>
  <si>
    <t>Świadectwa pochodzenia energii**</t>
  </si>
  <si>
    <t>Razem STAN NA 1 STYCZNIA 2024 Wartość brutto 33,6 12,8 92,4 133,9 44,4 23,4 340,5 Umorzenie* (25,2) - - (96,6) (5,3) (14,7) (141,8) WARTOŚĘ† KSIĘGOWA NETTO 8,4 12,8 92,4 37,3 39,1 8,7 198,7 Nakłady inwestycyjne - - 55,3 - - 8,4 63,7 Zwiększenia - 3,0 - - 0,3 - 3,3 Przesunięcie z wartości niematerialnych w toku - - - 7,9 - (7,9) - Zmniejszenia - (13,3) (79,1) - (2,8) (1,3) (96,5) Amortyzacja (0,2) - - (12,2) (1,6) (0,7) (14,7) Odpis aktualizujący - utworzenie 7.4 (4,9) - - (1,7) (1,3) (1,4) (9,3) Odpis aktualizujący - odwrócenie 7.4 0,5 - - 0,1 - 1,9 2,5 WARTOŚĘ† KSIĘGOWA NETTO 3,8 2,5 68,6 31,4 33,7 7,7 147,7 STAN NA 31 GRUDNIA 2024 Wartość brutto 33,6 2,5 68,6 140,8 44,6 19,9 310,0 Umorzenie* (29,8) - - (109,4) (10,9) (12,2) (162,3) WARTOŚĘ† KSIĘGOWA NETTO 3,8 2,5 68,6 31,4 33,7 7,7 147,7</t>
  </si>
  <si>
    <t>* Pozycja obejmuje umorzenie oraz odpisy aktualizujące wartości niematerialne.</t>
  </si>
  <si>
    <t>** W wierszu â€žZmniejszeniaâ€ť ujęto umorzenia świadectw pochodzenia energii zgodnie z decyzjami Prezesa Urzędu Regulacji Energetyki.</t>
  </si>
  <si>
    <t>75,6</t>
  </si>
  <si>
    <t>105,5</t>
  </si>
  <si>
    <t>18,5</t>
  </si>
  <si>
    <t>24,4</t>
  </si>
  <si>
    <t>(31,3)</t>
  </si>
  <si>
    <t>(9,1)</t>
  </si>
  <si>
    <t>(11,1)</t>
  </si>
  <si>
    <t>(5,2)</t>
  </si>
  <si>
    <t>92,4</t>
  </si>
  <si>
    <t>37,3</t>
  </si>
  <si>
    <t>39,1</t>
  </si>
  <si>
    <t>44,4</t>
  </si>
  <si>
    <t>340,5</t>
  </si>
  <si>
    <t>(96,6)</t>
  </si>
  <si>
    <t>(14,7)</t>
  </si>
  <si>
    <t>(141,8)</t>
  </si>
  <si>
    <t>Koszt sprzedanych produktów, materiałów i towarów 13,0 9,6</t>
  </si>
  <si>
    <t>Koszty administracyjne 1,7 1,5</t>
  </si>
  <si>
    <t>RAZEM AMORTYZACJA WARTOŚCI NIEMATERIALNYCH 14,7 11,1</t>
  </si>
  <si>
    <t>Średnia liczba uprawnień przyznanych 823 024 835 412</t>
  </si>
  <si>
    <t>Szacowane wykorzystanie uprawnień 988 555 1 051 891</t>
  </si>
  <si>
    <t>NIEDOBÓR (165 531) (216 479)</t>
  </si>
  <si>
    <t>Na dzień 31 grudnia 2024 roku wartość netto wartości niematerialnych stanowiących zabezpieczenie spłaty zobowiązań wynosi 2,0 mln PLN (na dzień 31 grudnia 2023 roku: 2,3 mln PLN) i dotyczy zabezpieczenia spłaty wierzytelności wynikających z umów finansowania dłużnego. Zabezpieczenia kredytów i pożyczek zostały opisane w Nocie 6.1.</t>
  </si>
  <si>
    <t>â–Ş Grunty 2 - 36 lat,</t>
  </si>
  <si>
    <t>Razem STAN NA 1 STYCZNIA 2024 Wartość brutto 19,2 6,2 741,5 48,2 213,3 1 028,4 Umorzenie * (1,6) (2,6) (371,7) (15,2) (47,3) (438,4) WARTOŚĘ† KSIĘGOWA NETTO 17,6 3,6 369,8 33,0 166,0 590,0 Nowe umowy leasingu 0,5 0,1 187,6 15,1 0,2 203,5 Modyfikacje umów leasingowych 2,0 - (0,2) - 1,1 2,9 Inne zwiększenia - - - - 0,8 0,8 Amortyzacja (0,6) (1,0) (172,8) (11,3) (2,6) (188,3) Inne zmniejszenia - - (1,9) (5,6) (5,3) (12,8) Odpis aktualizujący - utworzenie 7.4 (14,1) (0,1) (137,9) (1,4) (49,6) (203,1) Odpis aktualizujący - odwrócenie 7.4 0,1 0,2 9,5 - 5,8 15,6 WARTOŚĘ† KSIĘGOWA NETTO 5,5 2,8 254,1 29,8 116,4 408,6</t>
  </si>
  <si>
    <t>Razem STAN NA 31 GRUDNIA 2024 Wartość brutto 21,1 6,0 719,6 47,9 210,5 1 005,1 Umorzenie* (15,6) (3,2) (465,5) (18,1) (94,1) (596,5) WARTOŚĘ† KSIĘGOWA NETTO 5,5 2,8 254,1 29,8 116,4 408,6</t>
  </si>
  <si>
    <t>250,1</t>
  </si>
  <si>
    <t>19,9</t>
  </si>
  <si>
    <t>(186,1)</t>
  </si>
  <si>
    <t>(6,2)</t>
  </si>
  <si>
    <t>(196,9)</t>
  </si>
  <si>
    <t>(10,5)</t>
  </si>
  <si>
    <t>(11,6)</t>
  </si>
  <si>
    <t>Odpis aktualizujący - inne**</t>
  </si>
  <si>
    <t>17,6</t>
  </si>
  <si>
    <t>369,8</t>
  </si>
  <si>
    <t>166,0</t>
  </si>
  <si>
    <t>19,2</t>
  </si>
  <si>
    <t>741,5</t>
  </si>
  <si>
    <t>48,2</t>
  </si>
  <si>
    <t>213,3</t>
  </si>
  <si>
    <t>1 028,4</t>
  </si>
  <si>
    <t>(15,2)</t>
  </si>
  <si>
    <t>(47,3)</t>
  </si>
  <si>
    <t>(438,4)</t>
  </si>
  <si>
    <t>** Pozycja obejmuje przeklasyfikowanie odpisu aktualizującego rzeczowe aktywa trwałe w budowie na odpis aktualizujący prawo do użytkowania składnika aktywów</t>
  </si>
  <si>
    <t>Amortyzacja prawa do użytkowania składnika aktywów, ujęta jako: 188,3</t>
  </si>
  <si>
    <t>â€’ koszt sprzedanych produktów, materiałów i towarów 178,1</t>
  </si>
  <si>
    <t>â€’ koszty sprzedaży 0,1</t>
  </si>
  <si>
    <t>â€’ koszty administracyjne 2,5</t>
  </si>
  <si>
    <t>â€’ wartość świadczeń i rzeczowych aktywów trwałych wytworzonych na potrzeby własne (w tym wyrobisk ruchowych i zbrojenia ścian) 7,6</t>
  </si>
  <si>
    <t>Koszty z tytułu odsetek (ujęte w kosztach finansowych) 37,4</t>
  </si>
  <si>
    <t>Koszt związany z leasingiem krótkoterminowym ujęty jako: 18,7</t>
  </si>
  <si>
    <t>â€’ koszt sprzedanych produktów, materiałów i towarów 17,9</t>
  </si>
  <si>
    <t>â€’ koszty sprzedaży 0,8</t>
  </si>
  <si>
    <t>â€’ koszty administracyjne -</t>
  </si>
  <si>
    <t>â€’ pozostałe koszty -</t>
  </si>
  <si>
    <t>Koszt leasingu dla umów niskocennych (ujęty jako koszt sprzedanych produktów, materiałów i towarów) 0,8</t>
  </si>
  <si>
    <t>RAZEM KOSZTY Z TYTUŁU LEASINGU 245,2</t>
  </si>
  <si>
    <t>Na dzień 31 grudnia 2024 roku wartość netto prawa do użytkowania składnika aktywów stanowiących zabezpieczenie spłaty zobowiązań wynosi 40,5 mln PLN (na dzień 31 grudnia 2023 roku: 69,2 mln PLN) i dotyczy głównie zabezpieczenia spłaty wierzytelności wynikających z umów finansowania dłużnego. Zabezpieczenia kredytów i pożyczek zostały opisane w Nocie 6.1.</t>
  </si>
  <si>
    <t>Na dzień 31 grudnia 2024 roku Grupa posiada nierozpoczęte jeszcze umowy z tytułu leasingu, do których zobligowana jest jako leasingobiorca, a wartość przyszłych wypływów pieniężnych z tego tytułu wynosi 26,8 mln PLN (na dzień 31 grudnia 2023 roku: 77,6 mln PLN).</t>
  </si>
  <si>
    <t>Na dzień 31 grudnia 2024 roku Grupa posiadała umowy leasingu, dla których korzysta z prawa zwolnienia ze stosowania wymogów wynikających z MSSF 16. Wartość przyszłych wypływów pieniężnych dla umów leasingu krótkoterminowego wynosi 11,0 mln PLN (na dzień 31 grudnia 2023 roku: 18,6 mln PLN), natomiast dla umów leasingu aktywów o niskiej wartości wynosi 0,8 mln PLN (na dzień 31 grudnia 2023 roku: 0,6 mln PLN).</t>
  </si>
  <si>
    <t>Niefinansowe aktywa trwałe (aktywa podlegające amortyzacji) Grupa analizuje pod kątem utraty wartości, ilekroć jakieś zdarzenia lub zmiany okoliczności wskazują na możliwość niezrealizowania ich wartości księgowej.</t>
  </si>
  <si>
    <t>Dla potrzeb analizy pod kątem utraty wartości, aktywa grupuje się na najniższym poziomie, w odniesieniu do którego występują dające się zidentyfikować odrębne przepływy pieniężne (ośrodki wypracowujące środki pieniężne). Testy na utratę wartości niefinansowych aktywów trwałych wykonywane są z przyjęciem zasady, iż dla aktywów niewycofanych z użytkowania najmniejszą grupę aktywów stanowi kopalnia lub inna spółka zależna (ośrodek wypracowywujący środki pieniężne â€“ â€žCGUâ€ť).</t>
  </si>
  <si>
    <t>Utworzenie i odwrócenie odpisów aktualizujących wartość niefinansowych aktywów trwałych ujmowane jest w skonsolidowanym sprawozdaniu z wyniku finansowego i innych całkowitych dochodów w pozycji Utrata wartości niefinansowych aktywów trwałych.</t>
  </si>
  <si>
    <t>Zgodnie z MSR 36 Utrata wartości aktywów Grupa okresowo weryfikuje przesłanki wewnętrzne jak i zewnętrzne mogące świadczyć o utracie wartości jej aktywów. Analiza przesłanek opiera się na szeregu istotnych założeń, których część jest poza kontrolą Grupy. Istotne zmiany tych założeń mają wpływ na wyniki testów na utratę wartości i w konsekwencji mogą doprowadzić do istotnych zmian sytuacji finansowej oraz wyników finansowych Grupy.</t>
  </si>
  <si>
    <t>W 2024 roku Grupa dokonała analizy przesłanek mogących świadczyć o utracie wartości księgowej składników aktywów w celu weryfikacji, czy mogła nastąpić utrata wartości aktywów, jak również przesłanek mogących wskazywać na to, że odpis aktualizujący z tytułu utraty wartości, który był ujęty w okresach ubiegłych, przestał istnieć lub uległ zmniejszeniu. W wyniku przeprowadzonej analizy:</t>
  </si>
  <si>
    <t>â–Ş Segment Węglowy - w wyniku przeprowadzonej na dzień 30 czerwca 2024 roku analizy zidentyfikowano kluczowe zdarzenia, które w istotny sposób mogły przyczynić się do zmiany wartości posiadanych aktywów i w związku z tym Jednostka dominująca na dzień 30 czerwca 2024 roku przeprowadziła test na utratę wartości. Na dzień 31 grudnia 2024 roku Jednostka dominująca nie przeprowadziła nowych testów na utratę wartości CGU,</t>
  </si>
  <si>
    <t>â–Ş Segment Koksowy â€“ w wyniku przeprowadzonej na dzień 30 czerwca 2024 roku analizy zidentyfikowano kluczowe zdarzenia, które w istotny sposób mogły przyczynić się do zmiany wartości posiadanych aktywów koksowniczych i aktywów energetycznych, w związku z czym Grupa na dzień 30 czerwca 2024 roku przeprowadziła test na utratę wartości. Natomiast na dzień 31 grudnia 2024 roku dokonano zmiany dotychczasowego podziału CGU na aktywa koksownicze i energetyczne, oraz dokonano połączenia CGU Koksownia Radlin i CGU Elektrociepłownia Radlin w CGU Koksownia Radlin. Zmiana ta spowodowała konieczność przeprowadzenia, na dzień 31 grudnia 2024 roku, testu na utratę wartości dla powstałego w wyniku połączenia CGU Koksownia Radlin.</t>
  </si>
  <si>
    <t>2024 2023 Rzeczowe aktywa trwałe Wartości niemate-rialne Prawo do użytkowania składnika aktywów Nierucho-mości inwesty-cyjne Wartość firmy RAZEM Rzeczowe aktywa trwałe Wartości niemate-rialne Prawo do użytkowania składnika aktywów Nierucho-mości inwesty-cyjne Wartość firmy RAZEM STAN NA 1 STYCZNIA 4 388,9 15,9 58,1 14,6 57,0 4 534,5 4 257,8 10,7 51,5 14,8 57,0 4 391,8 Utworzenie odpisu 6 759,2 9,3 203,1 - - 6 971,6 223,7 5,2 13,0 - - 241,9 Przeklasyfikowanie odpisu* 7,1 - (7,1) - - - (4,3) - 4,3 - - - Wykorzystanie odpisu (236,2) - (17,1) - - (253,3) (72,4) - (10,0) - - (82,4) Odwrócenie odpisu (504,2) (2,5) (15,6) - - (522,3) (15,0) - (0,7) (0,2) - (15,9) Przeklasyfikowanie odpisu na poczet umorzenia** (254,5) (0,5) (6,5) - - (261,5) (0,7) - - - - (0,7) Inne zmniejszenia - - - - - - (0,2) - - - - (0,2) STAN NA 31 GRUDNIA 10 160,3 22,2 214,9 14,6 57,0 10 469,0 4 388,9 15,9 58,1 14,6 57,0 4 534,5</t>
  </si>
  <si>
    <t>* Na dzień 31 grudnia 2024 roku pozycja obejmuje przeniesienie odpisu z tytułu utraty wartości prawa do użytkowania składnika aktywów do odpisów z tytułu utraty wartości rzeczowych aktywów trwałych w związku z zakończeniem umowy leasingu i wykupem przedmiotu umowy. Natomiast na dzień 31 grudnia 2023 roku pozycja dotyczyła przeklasyfikowania odpisu z tytułu utraty wartości rzeczowych aktywów trwałych w budowie do odpisów z tytułu utraty wartości prawa do użytkowania składnika aktywów.</t>
  </si>
  <si>
    <t>** Pozycja dotyczy technicznego przeniesienia odpisu aktualizującego na poczet umorzenia bez wpływu na wynik finansowy.</t>
  </si>
  <si>
    <t>Ujęcie odpisów aktualizujących z tytułu utraty wartości niefinansowych aktywów trwałych w skonsolidowanym sprawozdaniu z wyniku finansowego i innych całkowitych dochodów przedstawia poniższa tabela:</t>
  </si>
  <si>
    <t>Utworzenie odpisu aktualizującego rzeczowe aktywa trwałe, wartości niematerialne oraz prawo do użytkowania składnika aktywów (6 971,6)</t>
  </si>
  <si>
    <t>(241,9)</t>
  </si>
  <si>
    <t>Odwrócenie odpisu aktualizującego rzeczowe aktywa trwałe, wartości niematerialne oraz prawo do użytkowania składnika aktywów 522,3</t>
  </si>
  <si>
    <t>RAZEM UTRATA WARTOŚCI NIEFINANSOWYCH AKTYWÓW TRWAŁYCH (6 449,3)</t>
  </si>
  <si>
    <t>Przesłanki powodujące utratę wartości na dzień 30 czerwca 2024 roku</t>
  </si>
  <si>
    <t>W wyniku przeprowadzonej na dzień 30 czerwca 2024 roku analizy zidentyfikowano poniższe kluczowe zdarzenia, które w istotny sposób mogły przyczynić się do zmiany wartości posiadanych aktywów:</t>
  </si>
  <si>
    <t>â–Ş Prognozowany wzrost kosztów działalności operacyjnej, w tym znaczne zwiększenie jednostkowego gotówkowego kosztu produkcji węgla (mining cash cost).</t>
  </si>
  <si>
    <t>â–Ş Aktualizacja założeń dotyczących wielkości produkcji skutkująca zmniejszeniem produkcji węgla z poziomu 15,3 mln ton zakładanego w Strategii JSW S.A. z uwzględnieniem spółek zależnych Grupy Kapitałowej JSW na lata 2022-2030 (â€žStrategiaâ€ť) do poziomu 12,45 mln ton (wg aktualnych założeń operacyjnych). Powyższe uwzględnia m.in. wpływ zdarzeń w KWK Budryk i KWK Pniówek, który przedstawiany był w raportach bieżących nr 28/2023, 20/2024, 21/2024 (w tym m.in. zwiększenie szacowanego ubytku w produkcji węgla w KWK Pniówek) oraz zmniejszenie, będące wynikiem rozpoznania w efekcie prowadzonych robót górniczych w stosunku do przyjętych w Strategii poziomów produkcji w obszarze Bzie-Dębina, a który ostatecznie uwzględniony został w zaktualizowanych prognozach przyjętych do testów, jako rezultat przeprowadzonych analiz w zakresie zmniejszenia prognoz produkcji i wpływu na perspektywy JSW i Grupy w przyszłości.</t>
  </si>
  <si>
    <t>â–Ş Aktualizacja założeń cenowych w zakresie prognozowanych na kolejne lata cen węgla, w szczególności spadek cen węgla energetycznego.</t>
  </si>
  <si>
    <t>â–Ş Umocnienie się kursu PLN względem USD mające wpływ na ceny sprzedaży węgla.</t>
  </si>
  <si>
    <t>â–Ş Znaczny spadek przewidzianych w budżecie przepływów pieniężnych netto.</t>
  </si>
  <si>
    <t>â–Ş Konieczności ponoszenia wysokich nakładów na bieżące projekty utrzymaniowe.</t>
  </si>
  <si>
    <t>Biorąc powyższe pod uwagę, stwierdzono konieczność przeprowadzenia testu na utratę wartości dla następujących ośrodków generujących przepływy pieniężne (â€žCGUâ€ť):</t>
  </si>
  <si>
    <t>â–Ş KWK Borynia-Zofiówka-Bzie Ruch Borynia,</t>
  </si>
  <si>
    <t>â–Ş KWK Borynia-Zofiówka-Bzie Ruch Zofiówka,</t>
  </si>
  <si>
    <t>â–Ş KWK Budryk,</t>
  </si>
  <si>
    <t>â–Ş KWK Pniówek,</t>
  </si>
  <si>
    <t>â–Ş KWK Knurów-Szczygłowice,</t>
  </si>
  <si>
    <t>â–Ş KWK Borynia-Zofiówka-Bzie Ruch Bzie.</t>
  </si>
  <si>
    <t>Testy na utratę wartości zostały przeprowadzone w odniesieniu do ww. CGU poprzez ustalenie ich wartości odzyskiwalnej.</t>
  </si>
  <si>
    <t>Zgodnie z wymogami MSR 36, wartość odzyskiwalna została ustalona na poziomie wyższej z dwóch wartości: wartości użytkowej i wartości godziwej pomniejszonej o koszty sprzedaży. W związku z uwzględnieniem działań oszczędnościowych, wyższą z dwóch wartości w tym teście na utratę wartości była wartość godziwa pomniejszona o koszty sprzedaży.</t>
  </si>
  <si>
    <t>Wartość godziwa została w całości zaklasyfikowana do poziomu 3 hierarchii wartości godziwej (tj. wycena zawiera nieobserowalne dane wejściowe).</t>
  </si>
  <si>
    <t>Zarząd JSW zdecydował się na sporządzenie testów dla trzech najbardziej prawdopodobnych scenariuszy działania (aktualnych długoterminowych planów finansowych) z punktu widzenia generowanych przepływów finansowych.</t>
  </si>
  <si>
    <t>Wartość odzyskiwalna analizowanych aktywów została ustalona w oparciu o oszacowanie ich wartości godziwej pomniejszonej o koszty sprzedaży przy zastosowaniu metody dochodowej, na bazie szacunku zdyskontowanych przepływów pieniężnych z uwzględnieniem rezerw na likwidację zakładów górniczych, na bazie trzech scenariuszy, ważonych prawdopodobieństwem ich realizacji.</t>
  </si>
  <si>
    <t>Scenariusz pesymistyczny, który nie uwzględnia działań oszczędnościowych, obrazuje założenia, które mają zastosowanie zarówno do wyceny CGU do wartości godziwej, jak i do wartości użytkowej. Scenariusz bazowy oraz optymistyczny uwzględniają działania oszczędnościowe które nie mogą być uwzględnione w wyliczeniu wartości użytkowej, lecz uwzględnia się je w wycenie do wartości godziwej.</t>
  </si>
  <si>
    <t>Ustalając wartość odzyskiwalną, zdyskontowane przyszłe przepływy pieniężne CGU w okresie II półrocze 2024 roku â€“ I półrocze 2029 roku przyjęto na podstawie aktualnych długoterminowych planów finansowych za ten okres, przy czym jednak zakładany okres ekonomicznej użyteczności CGU wykracza poza rok 2029, zatem w tym zakresie określono również i uwzględniono w obliczeniach wartość rezydualną na pozostały czas eksploatacji.</t>
  </si>
  <si>
    <t>Test na utratę wartości został wyliczony na podstawie aktualnych długoterminowych planów finansowych na okres II półrocze 2024 roku â€“ I półrocze 2029 roku zgodnie z najlepszą wiedzą kierownictwa JSW.</t>
  </si>
  <si>
    <t>Projekcję opracowano w ujęciu scenariuszowym (trzy Modele finansowe/scenariusze: optymistyczny, bazowy i pesymistyczny) z wykorzystaniem założeń ogólnych, jednolitych dla wszystkich trzech scenariuszy, oraz założeń szczegółowych - różnych dla poszczególnych scenariuszy.</t>
  </si>
  <si>
    <t>Założenia ogólne</t>
  </si>
  <si>
    <t>Założenia ogólne przy jakich dokonano wyliczenia dla testu z tytułu utraty wartości na 30 czerwca 2024 roku:</t>
  </si>
  <si>
    <t>â–Ş wyodrębniono następujące CGU będące przedmiotem testu:</t>
  </si>
  <si>
    <t>â’ Zakład Górniczy KWK Budryk,</t>
  </si>
  <si>
    <t>â’ Zakład Górniczy KWK Knurów-Szczygłowice: Ruch Knurów, Ruch Szczygłowice - z uwagi na powiązanie technologiczne i ekonomiczne pomiędzy tymi ruchami,</t>
  </si>
  <si>
    <t>â’ Zakład Górniczy KWK Pniówek,</t>
  </si>
  <si>
    <t>â’ Zakład Górniczy KWK Borynia-Zofiówka-Bzie Ruch Zofiówka,</t>
  </si>
  <si>
    <t>â’ Zakład Górniczy KWK Borynia-Zofiówka-Bzie Ruch Borynia,</t>
  </si>
  <si>
    <t>â’ Zakład Górniczy KWK Borynia-Zofiówka-Bzie Ruch Bzie,</t>
  </si>
  <si>
    <t>â–Ş żywotności dla poszczególnych zakładów JSW:</t>
  </si>
  <si>
    <t>â’ Zakład Górniczy KWK Budryk â€“ do 31.12.2077 r.</t>
  </si>
  <si>
    <t>â’ Zakład Górniczy KWK Knurów-Szczygłowice â€“ do 31.12.2078 r.</t>
  </si>
  <si>
    <t>â’ Zakład Górniczy KWK Pniówek â€“ do 31.12.2081 r.</t>
  </si>
  <si>
    <t>â’ Zakład Górniczy KWK Borynia-Zofiówka-Bzie Ruch Zofiówka â€“ do 31.12.2051 r.</t>
  </si>
  <si>
    <t>â’ Zakład Górniczy KWK Borynia-Zofiówka-Bzie Ruch Borynia â€“ do 31.12.2051 r.</t>
  </si>
  <si>
    <t>â’ Zakład Górniczy KWK Borynia-Zofiówka-Bzie Ruch Bzie â€“ do 31.12.2084 r.</t>
  </si>
  <si>
    <t>â–Ş analizę utraty wartości ustalono w oparciu o najnowsze dane ekonomiczne ujęte w aktualnych długoterminowych planach finansowych w wartościach realnych i przy zastosowaniu średniego ważonego kosztu kapitału po opodatkowaniu (â€žWACCâ€ť) w okresie projekcji na poziomie 8,92%, w ujęciu realnym,</t>
  </si>
  <si>
    <t>â–Ş uwzględniono w kalkulacji WACC premię za ryzyko specyficzne w wysokości 2 pp, co jest związane w szczególności: z dostrzeżeniem pojawiających się w perspektywie długiego horyzontu czasowego (w kontekście lat 2030 â€“ 2050, a zwłaszcza lat następujących po 2050 roku) zapowiedzi wprowadzania zmian w technologii produkcji stali (tj. zapowiedzi stopniowego ograniczenia stosowania technologii emisyjnych), jak również, z niepewnością co do wszelkich innych elementów szacowanych prognoz finansowych (wszelkie prognozy finansowe w tak długim horyzoncie czasowym obarczone są ryzykiem co do ich faktycznej materializacji),</t>
  </si>
  <si>
    <t>â–Ş przychody ze sprzedaży węgla oparto o ceny sprzedaży węgla FCA w ujęciu realnym, biorąc za podstawę referencyjne ścieżki cenowe prognozowane przez McCloskey, stosowane przez JSW do bieżących analiz rynkowych i założono 248 USD/t na rok 2025, 244 USD/t na rok 2026, 241 USD/t na rok 2027, 237 USD/t na rok 2028 i 254 USD/t dla I półrocza 2029 roku,</t>
  </si>
  <si>
    <t>â–Ş przyjęte nakłady inwestycyjne (uwzględniając wagi scenariuszy): CAPEX w okresie 5-letniej prognozy w wysokości 15 407,3 mln PLN, CAPEX w okresie rezydualnym w wysokości 103 864,8 mln PLN,</t>
  </si>
  <si>
    <t>â–Ş przyjęte w projekcji finansowej założenia produkcyjne (wielkość i struktura) zostały ustalone według najlepszej wiedzy kopalń i stanowiły podstawę do wyliczenia wolumenu sprzedaży węgla,</t>
  </si>
  <si>
    <t>â–Ş stopa wzrostu prognozowanych przepływów po okresie prognozy wynosi 0,</t>
  </si>
  <si>
    <t>â–Ş uwzględniono kapitał obrotowy oraz zobowiązania długoterminowe i rezerwy przypisane do danego CGU celem ustalenia wartości testowanego majątku,</t>
  </si>
  <si>
    <t>â–Ş uwzględniono aktualne przepisy w zakresie braku możliwości przekazania trwale nierentownego CGU do SRK S.A.,</t>
  </si>
  <si>
    <t>â–Ş wartość bilansowa i odzyskiwalna poszczególnych CGU została skorygowana o kwotę rezerw na likwidację zakładów górniczych,</t>
  </si>
  <si>
    <t>â–Ş przepływy związane z CAPEX oraz poziomem kapitału obrotowego zostały ustalone w oparciu o prognozy poszczególnych kopalń,</t>
  </si>
  <si>
    <t>â–Ş uwzględniono dokonane do dnia 30 czerwca 2024 roku odpisy aktualizujące wartość rzeczowych aktywów trwałych, wartości niematerialnych i prawa do użytkowania składnika aktywów dla KWK Budryk, KWK Knurów-Szczygłowice, KWK Borynia-Zofiówka-Bzie Ruch Zofiówka oraz KWK Borynia-Zofiówka-Bzie Ruch Bzie.</t>
  </si>
  <si>
    <t>Założenia szczegółowe</t>
  </si>
  <si>
    <t>Założenia szczegółowe dla scenariuszy, przy jakich dokonano wyliczenia dla testu z tytułu utraty wartości na 30 czerwca 2024 roku:</t>
  </si>
  <si>
    <t>1. Scenariusz optymistyczny - wdrożenie działań oszczędnościowych, w tym zamrożenie płac począwszy od I półrocza 2025 roku do końca okresu projekcji, tj. do I półrocza 2029 roku, które obejmują:</t>
  </si>
  <si>
    <t>â–Ş zakaz zwiększania stanu zatrudnienia w JSW; przyjęcie nowych pracowników może mieć miejsce tylko w szczególnie uzasadnionych przypadkach, za zgodą Zarządu,</t>
  </si>
  <si>
    <t>â–Ş 100% wykorzystanie naturalnych odejść pracowników,</t>
  </si>
  <si>
    <t>â–Ş optymalizacja ilości dniówek sobotnio â€“ niedzielnych i świątecznych,</t>
  </si>
  <si>
    <t>â–Ş spadek kosztów remontów o 10% w wyniku realizacji projektów proefektywnościowych (m.in. OEE, TPM, Lean Management, Kaizen itp.) oraz jako efekt nakładów poniesionych w latach poprzednich,</t>
  </si>
  <si>
    <t>â–Ş redukcję kosztów usług świadczonych przez spółki Grupy na rzecz JSW o 10% w związku z przeglądem ich efektywności kosztowej i procesowej (benchmarking do podmiotów działających w analogicznych branżach) i uzasadnionych przypadkach outsourcingu tych usług do podmiotów wyspecjalizowanych (BPO),</t>
  </si>
  <si>
    <t>â–Ş redukcję zużycia jednostkowego energii elektrycznej o 5% w wyniku realizacji projektu mającego na celu identyfikację i redukcję źródeł nieefektywności w tym obszarze,</t>
  </si>
  <si>
    <t>â–Ş ograniczenie inwestycji poprzez ustalenie katalogu kryteriów, które muszą spełniać, aby zostały przyjęte do realizacji, przykładowo:</t>
  </si>
  <si>
    <t>â–Ş gwarantują osiąganie założonego poziomu produkcji,</t>
  </si>
  <si>
    <t>â–Ş osiągają okres zwrotu nie dłuższy niż 10 lat,</t>
  </si>
  <si>
    <t>â–Ş wynikają z przepisów prawa lub BHP,</t>
  </si>
  <si>
    <t>â–Ş wynikają z realizacji strategii środowiskowej,</t>
  </si>
  <si>
    <t>â–Ş zamrożenie płac zasadniczych w JSW począwszy od roku 2025 i podjęcie działań zmierzających do opracowania nowej polityki płacowej, uzależniającej dokonywanie wypłat dodatkowych dla pracowników od sytuacji na rynku oraz wyników finansowych JSW.</t>
  </si>
  <si>
    <t>â–Ş zamrożenie płac w tym wariancie Modelu zostało zrealizowane począwszy od I półrocza 2025 roku. Założono, że realna wartość wynagrodzeń zostaje pomniejszona o wartość inflacji ustalonej procentem składanym.</t>
  </si>
  <si>
    <t>2. Scenariusz bazowy - wdrożenie działań oszczędnościowych (opisanych w Modelu optymistycznym), w tym zamrożenie płac od I półrocza 2025 roku do II półrocza 2026 roku, a od I półrocza 2027 roku przyjęcie średniego wynagrodzenia z roku 2026.</t>
  </si>
  <si>
    <t>3. Scenariusz pesymistyczny - brak wdrożenia działań oszczędnościowych, w tym brak zamrożenia płac w całym okresie projekcji.</t>
  </si>
  <si>
    <t>Prawdopodobieństwo realizacji wariantów</t>
  </si>
  <si>
    <t>Biorąc pod uwagę konieczność przeprowadzenia działań oszczędnościowych przyjęto następujące prawdopodobieństwo realizacji poszczególnych scenariuszy:</t>
  </si>
  <si>
    <t>1. Scenariusz optymistyczny â€“ 25%.</t>
  </si>
  <si>
    <t>2. Scenariusz bazowy â€“ 50%.</t>
  </si>
  <si>
    <t>3. Scenariusz pesymistyczny â€“ 25%.</t>
  </si>
  <si>
    <t>Przyjęte prawdopodobieństwa są wynikiem eksperckiej oceny dokonanej przez Zarząd JSW, uwzględniającej dotychczasowe zaawansowanie prac nad opracowywanym Planem Naprawczym oraz ciążące na nim ryzyka, szczególnie w części założeń dotyczących stanu zatrudnienia i kosztów wynagrodzeń, dla realizacji których konieczne jest współdziałanie ze Stroną Społeczną.</t>
  </si>
  <si>
    <t>Ustalenie wartości odzyskiwalnej poszczególnych Zakładów Górniczych</t>
  </si>
  <si>
    <t>W wyniku dokonanych obliczeń ustalono wartość odzyskiwalną poszczególnych CGU i porównano ją z ich wartością testowaną, ustalając w ten sposób wysokość odpisu aktualizującego konieczną do (utworzenia)/odwrócenia w I półroczu 2024 roku, co zaprezentowane zostało w poniższej tabeli:</t>
  </si>
  <si>
    <t>CGU (Zakłady górnicze)</t>
  </si>
  <si>
    <t>Wartość odzyskiwalna</t>
  </si>
  <si>
    <t>Kwota (ujętego)/ odwróconego odpisu w I półroczu 2024 roku</t>
  </si>
  <si>
    <t>Wartość skumulowanych odpisów na dzień 30 czerwca 2024 roku</t>
  </si>
  <si>
    <t>KWK Budryk</t>
  </si>
  <si>
    <t>749,9</t>
  </si>
  <si>
    <t>(1 322,1)</t>
  </si>
  <si>
    <t>(1 682,3)</t>
  </si>
  <si>
    <t>KWK Knurów-Szczygłowice</t>
  </si>
  <si>
    <t>1 533,2</t>
  </si>
  <si>
    <t>(1 284,1)</t>
  </si>
  <si>
    <t>(2 769,8)</t>
  </si>
  <si>
    <t>KWK Pniówek</t>
  </si>
  <si>
    <t>(202,7)</t>
  </si>
  <si>
    <t>(2 593,8)</t>
  </si>
  <si>
    <t>(2 614,4)</t>
  </si>
  <si>
    <t>KWK Borynia-Zofiówka-Bzie Ruch Bzie</t>
  </si>
  <si>
    <t>(3 276,8)</t>
  </si>
  <si>
    <t>(245,1)*</t>
  </si>
  <si>
    <t>(1 470,5)</t>
  </si>
  <si>
    <t>KWK Borynia-Zofiówka-Bzie Ruch Zofiówka</t>
  </si>
  <si>
    <t>1 612,3</t>
  </si>
  <si>
    <t>438,6</t>
  </si>
  <si>
    <t>KWK Borynia-Zofiówka-Bzie Ruch Borynia</t>
  </si>
  <si>
    <t>1 252,4</t>
  </si>
  <si>
    <t>70,9</t>
  </si>
  <si>
    <t>(4 935,6)</t>
  </si>
  <si>
    <t>(8 537,0)</t>
  </si>
  <si>
    <t>* Na kwotę odpisu aktualizującego dla KWK Borynia-Zofiówka-Bzie Ruch Bzie składają się odpisy aktualizujące ujęte w I kwartale 2024 roku w kwocie 37,4 mln PLN oraz w II kwartale 2024 roku w kwocie 207,7 mln PLN.</t>
  </si>
  <si>
    <t>Przeprowadzone na dzień 30 czerwca 2024 roku testy na utratę wartości wskazały na konieczność utworzenia odpisu aktualizującego wartość aktywów trwałych w wysokości 5 407,7 mln PLN.</t>
  </si>
  <si>
    <t>Ponadto w KWK Borynia-Zofiówka-Bzie Ruch Borynia i Ruch Zofiówka zaszła konieczność odwrócenia odpisu aktualizującego w łącznej wysokości 509,5 mln PLN. Przyczyną zaistniałej sytuacji są głównie wyższe ścieżki referencyjne cen węgla oparte o projekcje McCloskey oraz wzrost sprzedaży, która w okresie przeprowadzonej projekcji 5-letniej (II półrocze 2024 roku - I półrocze 2029 roku) jest wyższa w odniesieniu do okresu 5-letniego (2022-2026) użytego do przeprowadzonych testów na utratę wartości aktywów trwałych na dzień 31 grudnia 2021 roku na bazie obowiązującej Strategii. Dla Ruchu Borynia wzrost sprzedaży w okresie 5-letnim wyniósł łącznie (+176,1) tys. ton oraz Ruchu Zofiówka (+69,9) tys. ton.</t>
  </si>
  <si>
    <t>Jednocześnie w I kwartale 2024 roku utworzony został odpis aktualizujący wartość aktywów KWK Borynia-Zofiówka-Bzie Ruch Bzie w kwocie 37,4 mln PLN.</t>
  </si>
  <si>
    <t>Natomiast na dzień 31 grudnia 2024 roku ze względu na ujemną wartość NPV dla KWK Borynia-Zofiówka-Bzie Ruch Bzie w wysokości (3 276,8) mln PLN wynikającą z obliczeń przeprowadzonych do testu na dzień 30 czerwca 2024 roku, przy jednoczesnym wzroście aktywów trwałych KWK Borynia-Zofiówka-Bzie Ruch Bzie w III i IV kwartale 2024 roku, ujęty został odpis aktualizujący majątek KWK Borynia-Zofówka-Bzie Ruch Bzie na kwotę 54,1 mln PLN.</t>
  </si>
  <si>
    <t>Łącznie w 2024 roku w wyniku finansowym Segmentu Węgiel ujęto utworzenie odpisu aktualizującego niefinansowe aktywa trwałe w wysokości 5 499,2 mln PLN oraz odwrócenie odpisu aktualizującego w wysokości 520,5 mln PLN, co zostało zaprezentowane w pozycji Utrata wartości niefinansowych aktywów trwałych w skonsolidowanym sprawozdaniu z wyniku finansowego i innych całkowitych dochodów.</t>
  </si>
  <si>
    <t>Wyniki analizy wrażliwości dla poszczególnych CGU wykazały, że istotny wpływ na wartość odzyskiwalną testowanych aktywów mają zmiany w zakresie cen węgla oraz zmiany średniego ważonego kosztu kapitału.</t>
  </si>
  <si>
    <t>Grupa dokonała również analizy wpływu skrócenia okresu żywotności poszczególnych CGU na wartość odzyskiwalną testowanych aktywów. Przyjęto założenie zakończenia eksploatacji węgla kamiennego przez kopalnie JSW zgodnie z planowanym wygaszaniem polskich kopalń, tj. do końca 2049 roku.</t>
  </si>
  <si>
    <t>Grupa dokonała także analizy wrażliwości wpływu zmiany prawdopodobieństwa realizacji poszczególnych scenariuszy.</t>
  </si>
  <si>
    <t>Poniżej zaprezentowano o ile zmieni się wartość odzyskiwalna oraz wysokość odpisu aktualizującego (z uwzględnieniem przeklasyfikowania odpisu na poczet umorzenia) w efekcie zmian powyższych parametrów dla jednostki objętej odpisem aktualizującym wartość aktywów trwałych na dzień 30 czerwca 2024 roku.</t>
  </si>
  <si>
    <t>Parametr â€“ cena węgla:</t>
  </si>
  <si>
    <t>(2 812,9)</t>
  </si>
  <si>
    <t>(1 392,4)</t>
  </si>
  <si>
    <t>1 379,6</t>
  </si>
  <si>
    <t>2 756,8</t>
  </si>
  <si>
    <t>2 127,0</t>
  </si>
  <si>
    <t>1 392,4</t>
  </si>
  <si>
    <t>(1 345,8)</t>
  </si>
  <si>
    <t>(2 236,0)</t>
  </si>
  <si>
    <t>(2 000,3)</t>
  </si>
  <si>
    <t>(981,4)</t>
  </si>
  <si>
    <t>966,2</t>
  </si>
  <si>
    <t>1 932,4</t>
  </si>
  <si>
    <t>1 215,1</t>
  </si>
  <si>
    <t>981,4</t>
  </si>
  <si>
    <t>(966,2)</t>
  </si>
  <si>
    <t>(1 554,9)</t>
  </si>
  <si>
    <t>(1 750,0)</t>
  </si>
  <si>
    <t>(873,4)</t>
  </si>
  <si>
    <t>853,5</t>
  </si>
  <si>
    <t>1 694,4</t>
  </si>
  <si>
    <t>925,7</t>
  </si>
  <si>
    <t>186,8</t>
  </si>
  <si>
    <t>0,0</t>
  </si>
  <si>
    <t>(1 686,9)</t>
  </si>
  <si>
    <t>(820,8)</t>
  </si>
  <si>
    <t>802,1</t>
  </si>
  <si>
    <t>1 600,2</t>
  </si>
  <si>
    <t>1 140,7</t>
  </si>
  <si>
    <t>299,5</t>
  </si>
  <si>
    <t>(308,2)</t>
  </si>
  <si>
    <t>(154,1)</t>
  </si>
  <si>
    <t>154,1</t>
  </si>
  <si>
    <t>308,2</t>
  </si>
  <si>
    <t>(3 168,6)</t>
  </si>
  <si>
    <t>(1 540,6)</t>
  </si>
  <si>
    <t>1 517,5</t>
  </si>
  <si>
    <t>2 970,7</t>
  </si>
  <si>
    <t>573,7</t>
  </si>
  <si>
    <t>(1 517,5)</t>
  </si>
  <si>
    <t>Parametr â€“ stopa dyskonta:</t>
  </si>
  <si>
    <t>-2pp</t>
  </si>
  <si>
    <t>-1pp</t>
  </si>
  <si>
    <t>1pp</t>
  </si>
  <si>
    <t>2pp</t>
  </si>
  <si>
    <t>996,3</t>
  </si>
  <si>
    <t>441,3</t>
  </si>
  <si>
    <t>(356,0)</t>
  </si>
  <si>
    <t>(646,8)</t>
  </si>
  <si>
    <t>(996,3)</t>
  </si>
  <si>
    <t>(441,3)</t>
  </si>
  <si>
    <t>356,0</t>
  </si>
  <si>
    <t>646,8</t>
  </si>
  <si>
    <t>685,9</t>
  </si>
  <si>
    <t>304,6</t>
  </si>
  <si>
    <t>(246,8)</t>
  </si>
  <si>
    <t>(685,9)</t>
  </si>
  <si>
    <t>(304,6)</t>
  </si>
  <si>
    <t>246,8</t>
  </si>
  <si>
    <t>449,3</t>
  </si>
  <si>
    <t>551,4</t>
  </si>
  <si>
    <t>254,7</t>
  </si>
  <si>
    <t>(219,7)</t>
  </si>
  <si>
    <t>(410,1)</t>
  </si>
  <si>
    <t>397,9</t>
  </si>
  <si>
    <t>(158,8)</t>
  </si>
  <si>
    <t>(296,6)</t>
  </si>
  <si>
    <t>KWK Borynia-Zofiówka-Bzie Ruch-Bzie</t>
  </si>
  <si>
    <t>(855,5)</t>
  </si>
  <si>
    <t>(379,4)</t>
  </si>
  <si>
    <t>(307,9)</t>
  </si>
  <si>
    <t>(561,8)</t>
  </si>
  <si>
    <t>320,9</t>
  </si>
  <si>
    <t>(114,6)</t>
  </si>
  <si>
    <t>(208,2)</t>
  </si>
  <si>
    <t>(320,9)</t>
  </si>
  <si>
    <t>(142,1)</t>
  </si>
  <si>
    <t>114,6</t>
  </si>
  <si>
    <t>208,2</t>
  </si>
  <si>
    <t>Parametr â€“ żywotność CGU:</t>
  </si>
  <si>
    <t>skrócenie okresu</t>
  </si>
  <si>
    <t>żywotności CGU do 2049 roku</t>
  </si>
  <si>
    <t>(531,4)</t>
  </si>
  <si>
    <t>531,4</t>
  </si>
  <si>
    <t>(314,9)</t>
  </si>
  <si>
    <t>314,9</t>
  </si>
  <si>
    <t>(48,5)</t>
  </si>
  <si>
    <t>359,2</t>
  </si>
  <si>
    <t>(191,3)</t>
  </si>
  <si>
    <t>191,3</t>
  </si>
  <si>
    <t>Parametr â€“ prawdopodobieństwo realizacji poszczególnych scenariuszy:</t>
  </si>
  <si>
    <t>Scenariusz optymistyczny â€“ 30%</t>
  </si>
  <si>
    <t>Scenariusz bazowy â€“ 50%</t>
  </si>
  <si>
    <t>Scenariusz pesymistyczny â€“ 20%</t>
  </si>
  <si>
    <t>Scenariusz optymistyczny â€“ 20%</t>
  </si>
  <si>
    <t>Scenariusz pesymistyczny â€“ 30%</t>
  </si>
  <si>
    <t>(446,4)</t>
  </si>
  <si>
    <t>446,4</t>
  </si>
  <si>
    <t>ODPISY Z TYTUŁU UTRATY WARTOŚCI W OKRESIE PORÓWNAWCZYM, tj. 2023 ROKU</t>
  </si>
  <si>
    <t>Odpis aktualizujący z tytułu utraty wartości aktywów trwałych w wysokości 212,4 mln PLN został ujęty w Utrata wartości niefinansowych aktywów trwałych w skonsolidowanym sprawozdaniu z wyniku finansowego i innych całkowitych dochodów za 2023 rok.</t>
  </si>
  <si>
    <t>Przesłanki powodujące utratę wartości</t>
  </si>
  <si>
    <t>Na dzień 30 czerwca 2024 roku Grupa przeprowadziła w Segmencie koksowym analizę przesłanek mogących świadczyć o utracie wartości majątku poszczególnych zakładów produkcyjnych w odniesieniu następujących CGU:</t>
  </si>
  <si>
    <t>â–Ş EC Radlin â€“ w części obejmującej aktywa energetyczne.</t>
  </si>
  <si>
    <t>Zidentyfikowane zostały następujące kluczowe przesłanki do przeprowadzenia testu na dzień 30 czerwca 2024 roku:</t>
  </si>
  <si>
    <t>1) aktywa koksownicze</t>
  </si>
  <si>
    <t>â–Ş utrzymująca się niekorzystna relacja cen koksu do ceny węgla koksowego, z utrzymującym się niekorzystnym trendem, determinująca marże na koszcie przerobu,</t>
  </si>
  <si>
    <t>â–Ş zmiany zakładanego wolumenu produkcji na skutek utrzymujących się problemów z zaopatrzeniem węgla,</t>
  </si>
  <si>
    <t>â–Ş czasowe ograniczenia produkcji koksu ze względu na dostępność węgla,</t>
  </si>
  <si>
    <t>â–Ş potencjalne ryzyko w pojawiających się i wprowadzanych na rynkach światowych nowych technologiach produkcji stali, które w procesie produkcyjnym nie wykorzystują koksu wielkopiecowego,</t>
  </si>
  <si>
    <t>â–Ş rosnące koszty utrzymania baterii koksowniczych oraz wzrost nakładów odtworzeniowych w celu utrzymania zdolności produkcyjnych w długim okresie czasu.</t>
  </si>
  <si>
    <t>2) aktywa energetyczne</t>
  </si>
  <si>
    <t>â–Ş przedłużający się okres uruchomienia Elektrociepłowni Radlin (2025 rok względem planowanej II połowy 2024 roku),</t>
  </si>
  <si>
    <t>â–Ş znaczący wzrost kosztów inwestycji,</t>
  </si>
  <si>
    <t>â–Ş potencjalne ryzyko zmiany generalnego wykonawcy na ostatnim etapie budowy,</t>
  </si>
  <si>
    <t>Biorąc powyższe pod uwagę, stwierdzono konieczność przeprowadzenia szacunku wartości odzyskiwalnej dla następujących CGU:</t>
  </si>
  <si>
    <t>â–Ş Koksownia Jadwiga,</t>
  </si>
  <si>
    <t>â–Ş Koksownia Przyjaźń,</t>
  </si>
  <si>
    <t>â–Ş Koksownia Radlin,</t>
  </si>
  <si>
    <t>â–Ş Elektrociepłownia Radlin.</t>
  </si>
  <si>
    <t>Na dzień 31 grudnia 2024 roku nie zidentyfikowano nowych przesłanek wskazujących na konieczność przeprowadzenia testu na utratę wartości aktywów trwałych, za wyjątkiem faktu, iż JSW KOKS w grudniu 2024 roku podjęła decyzję o rezygnacji z możliwości zasilania gazem ziemnym z sieci miejskiej EC Radlin, co skutkuje brakiem zasadności wyodrębnienia EC Radlin jako osobnego CGU, traktowanego jako aktywa energetyczne. W konsekwencji połączone zostały CGU Koksownia Radlin oraz CGU Elektrociepłownia Radlin w CGU Koksownia Radlin. Zmiana ta spowodowała konieczność przeprowadzenia na dzień 31 grudnia 2024 roku, testu na utratę wartości dla tego CGU.</t>
  </si>
  <si>
    <t>Przyjęte założenia do testu na dzień 30 czerwca 2024 roku oraz 31 grudnia 2024 roku</t>
  </si>
  <si>
    <t>Test na utratę wartości został przeprowadzony w odniesieniu do CGU poprzez ustalenie wartości odzyskiwalnej, która została ustalona w oparciu o oszacowaną wartość godziwą pomniejszoną o koszty sprzedaży, przy zastosowaniu metody dochodowej, na bazie szacunku zdyskontowanych przepływów pieniężnych, na podstawie projekcji finansowych przygotowanych za okres II półrocze 2024 roku â€“ I półrocze 2029 roku - dla testu na dzień 30 czerwca 2024 roku oraz na podstawie projekcji finansowych przygotowanych za okres 2025-2029 dla testu na dzień 31 grudnia 2024 roku. Zgodnie z wymogami MSR 36, wartość odzyskiwalna została ustalona na poziomie wyższej z dwóch wartości: wartości użytkowej i wartości godziwej pomniejszonej o koszty sprzedaży. W związku z uwzględnieniem działań oszczędnościowych, wyższą z dwóch wartości w tym teście na utratę wartości była wartość godziwa pomniejszona o koszty sprzedaży.</t>
  </si>
  <si>
    <t>Wartość godziwa została w całości zaklasyfikowana do poziomu 3 hierarchii wartości godziwej (tj. wycena zawiera nieobserwowalne dane wejściowe).</t>
  </si>
  <si>
    <t>Poniżej przedstawiono założenia, przy jakich dokonano wyliczenia dla testu z tytułu utraty wartości aktywów trwałych na dzień 30 czerwca 2024 roku oraz 31 grudnia 2024 roku:</t>
  </si>
  <si>
    <t>â–Ş żywotność dla poszczególnych CGU (ustalona na bazie technologicznych możliwości działania poszczególnych instalacji z uwzględnieniem remontów zakładających utrzymanie bezpieczeństwa funkcjonowania i zdolności produkcyjnych do dat granicznych:</t>
  </si>
  <si>
    <t>â€’ Koksownia Jadwiga - do 30.06.2040 r.</t>
  </si>
  <si>
    <t>â€’ Koksownia Przyjaźń - do 30.06.2060 r.</t>
  </si>
  <si>
    <t>â€’ Koksownia Radlin - do 2050 r.</t>
  </si>
  <si>
    <t>â€’ Elektrociepłownia Radlin (EC Radlin) - do 30.06.2050 r. (dla testu na dzień 30 czerwca 2024 roku)</t>
  </si>
  <si>
    <t>â–Ş prognozy cen węgla i koksu w okresie II półrocze 2024 roku - I półrocze 2029 roku (dla testu na dzień 30 czerwca 2024 roku) oraz w okresie 2025-2029 (dla testu przeprowadzonego na dzień 31 grudnia 2024 roku) zostały ustalone w oparciu o relację cen koksu do cen węgla koksowego spójnych z prognozami zastosowanymi do Segmentu węglowego, biorąc za podstawę referencyjne ścieżki cenowe węgla prognozowane przez McCloskey i założono: 222 USD/t na okres II półrocze 2024 roku â€“ I półrocze 2025 roku; 230 USD/t na okres II półrocze 2025 roku â€“ I półrocze 2026 roku; 227 USD/t na okres II półrocze 2026 roku â€“ I półrocze 2027 roku; 223 USD/t na okres II półrocze 2027 roku â€“ I półrocze 2028 roku; 228 USD/t na okres II półrocze 2028 roku â€“ I półrocze 2029 roku,</t>
  </si>
  <si>
    <t>â–Ş relacje cen koksu do cen węgla koksowego: 1,38 dla okresu II półrocze 2024 roku â€“ I półrocze 2025 roku; 1,53 dla okresu II półrocze 2025 roku â€“ I półrocze 2026 roku; 1,56 dla okresu II półrocze 2026 roku â€“ I półrocze 2027 roku; 1,56 dla okresu II półrocze 2027 roku â€“ I półrocze 2028 roku; 1,54 dla okresu II półrocze 2028 roku â€“ I półrocze 2029 roku; 1,46 dla roku 2025; 1,48 dla roku 2026; 1,53 dla roku 2027; 1,54 dla roku 2028; 1,52 dla roku 2029,</t>
  </si>
  <si>
    <t>â–Ş analizę utraty wartości ustalono w oparciu o najnowsze dane ekonomiczne opracowane w wartościach realnych i przy zastosowaniu WACC w okresie projekcji na poziomie 8,92% (dla testu na dzień 30 czerwca 2024 roku) oraz 9,54% (dla testu na dzień 31 grudnia 2024 roku),</t>
  </si>
  <si>
    <t>â–Ş uwzględniono w kalkulacji WACC premię za ryzyko specyficzne w wysokości 2 pp, co jest związane w szczególności: z dostrzeżeniem pojawiających się w perspektywie długiego horyzontu czasowego (w kontekście lat 2030-2050, a zwłaszcza lat następujących po 2050 roku) zapowiedzi wprowadzania zmian w technologii produkcji stali (tj. zapowiedzi stopniowego ograniczenia stosowania technologii emisyjnych), jak również z niepewnością co do wszelkich innych elementów szacowanych prognoz finansowych (wszelkie prognozy finansowe w tak długim horyzoncie czasowym obarczone są ryzykiem co do ich faktycznej materializacji),</t>
  </si>
  <si>
    <t>â–Ş uwzględnienie istniejących rezerw na świadczenia pracownicze oraz innych rezerw przypisanych do danego CGU celem ustalenia wartości testowanego majątku,</t>
  </si>
  <si>
    <t>â–Ş nakłady inwestycyjne przyjęto na poziomie aktualnych prognoz inwestycyjnych, w okresie projekcji oszacowano nakłady podtrzymujące infrastrukturę i sprawność operacyjną poszczególnych CGU do założonych dat krańcowych funkcjonowania. Dla testu na dzień 30 czerwca 2024 roku dla wszystkich CGU przyjęto CAPEX w okresie 5-letniej prognozy w wysokości 1 234,4 mln PLN, CAPEX w okresie rezydualnym w wysokości 1 376,6 mln PLN. Dla testu na dzień 31 grudnia 2024 roku dla CGU Koksowani Radlin przyjęto CAPEX w okresie 5-letniej prognozy w wysokości 175,3 mln PLN, CAPEX w okresie rezydualnym w wysokości 634,7 mln PLN,</t>
  </si>
  <si>
    <t>â–Ş dla urealnienia potencjalnych kosztów likwidacji przyjęto 2% kosztów transakcyjnych dla CGU generujących dodatnie przepływy.</t>
  </si>
  <si>
    <t>Ustalenie wartości odzyskiwalnej</t>
  </si>
  <si>
    <t>W wyniku dokonanych obliczeń na dzień 30 czerwca 2024 roku oraz 31 grudnia 2024 roku ustalono wartość odzyskiwalną majątku poszczególnych CGU (koksownie), na poziomie:</t>
  </si>
  <si>
    <t>CGU (Koksownia)</t>
  </si>
  <si>
    <t>Kwota (ujętego) odpisu w I półroczu 2024 roku</t>
  </si>
  <si>
    <t>Kwota (ujętego) odpisu w</t>
  </si>
  <si>
    <t>II półroczu 2024 roku</t>
  </si>
  <si>
    <t>Wartość skumulowanych odpisów na dzień 31 grudnia 2024 roku</t>
  </si>
  <si>
    <t>Koksownia Jadwiga</t>
  </si>
  <si>
    <t>(823,0)</t>
  </si>
  <si>
    <t>(3,9)*</t>
  </si>
  <si>
    <t>(3,2)**</t>
  </si>
  <si>
    <t>(118,0)</t>
  </si>
  <si>
    <t>Koksownia Przyjaźń</t>
  </si>
  <si>
    <t>932,2</t>
  </si>
  <si>
    <t>(983,8)</t>
  </si>
  <si>
    <t>(1 033,5)</t>
  </si>
  <si>
    <t>Koksownia Radlin</t>
  </si>
  <si>
    <t>103,2</t>
  </si>
  <si>
    <t>(421,4)***</t>
  </si>
  <si>
    <t>(59,5)</t>
  </si>
  <si>
    <t>(833,1)</t>
  </si>
  <si>
    <t>(1 409,1)</t>
  </si>
  <si>
    <t>(62,7)</t>
  </si>
  <si>
    <t>(1 984,6)</t>
  </si>
  <si>
    <t>* Na kwotę odpisu aktualizującego dla CGU Koksownia Jadwiga składają się odpisy aktualizujące ujęte w okresach śródrocznych w kwocie 1,8 mln PLN wynikające z utrzymującej się ujemnej wartości odzyskiwalnej CGU oraz w kwocie 2,1 mln PLN wynikające z przeprowadzonego na dzień 30 czerwca 2024 testu na utratę wartości.</t>
  </si>
  <si>
    <t>** Na kwotę odpisu aktualizującego dla CGU Koksownia Jadwiga składają się odpisy aktualizujące wartość poniesionych w II półroczu 2024 roku nakładów inwestycyjnych na rzeczowe aktywa trwałe CGU Koksownia Jadwiga, wynikające z utrzymującej się ujemnej wartości odzyskiwalnej CGU.</t>
  </si>
  <si>
    <t>*** Pozycja obejmuje utworzony odpis aktualizujący na dzień 30 czerwca 2024 roku dla CGU Koksownia Radlin w kwocie (119,6) mln PLN oraz dla CGU EC Radlin w kwocie (301,8) mln PLN.</t>
  </si>
  <si>
    <t>W 2024 roku został utworzony odpis aktualizujący z tytułu utraty wartości aktywów trwałych Koksowni Jadwiga, Koksowni Przyjaźń, Koksowni Radlin w łącznej kwocie 1 471,8 mln PLN, wynikający głównie z przeprowadzonych na dzień 30 czerwca 2024 roku oraz 31 grudnia 2024 roku testów na utratę wartości. Odpis ten dotyczący Segmentu Koks, został zaprezentowany w pozycji Utrata wartości niefinansowych aktywów trwałych w skonsolidowanym sprawozdaniu z wyniku finansowego i innych całkowitych dochodów.</t>
  </si>
  <si>
    <t>Analiza wrażliwości na dzień 30 czerwca 2024 roku</t>
  </si>
  <si>
    <t>Wyniki analizy wrażliwości wykazały, że w przypadku CGU Koksownia Przyjaźń i CGU Koksownia Radlin istotny wpływ na wartość odzyskiwalną testowanych aktywów mają zmiany w zakresie poziomu przychodu, poziomu cen podstawowego surowca do produkcji jakim jest węgiel oraz zmiany średniego ważonego kosztu kapitału.</t>
  </si>
  <si>
    <t>W przypadku EC Radlin najistotniejszy wpływ na wartość odzyskiwalną oprócz zmiany średniego ważonego kosztu kapitału, mają zmiany w zakresie cen energii elektrycznej (w okresie projekcji przyjęto ceny od 459,74 do 460,06 PLN/MWh) oraz uprawnień do emisji CO2 (w okresie projekcji przyjęto ceny od 65 do 119 EUR/t).</t>
  </si>
  <si>
    <t>Poniżej zaprezentowano o ile zmieniłaby się wartość odzyskiwalna oraz wysokość odpisu aktualizującego w efekcie zmian kluczowych parametrów dla jednostki objętej odpisem aktualizującym wartość aktywów trwałych na dzień 30 czerwca 2024 roku:</t>
  </si>
  <si>
    <t>Zmiana wielkości przychodu ze sprzedaży koksu</t>
  </si>
  <si>
    <t>Zmiana ceny węgla</t>
  </si>
  <si>
    <t>Zmiana stopy dyskonta</t>
  </si>
  <si>
    <t>(256,4)</t>
  </si>
  <si>
    <t>256,4</t>
  </si>
  <si>
    <t>240,8</t>
  </si>
  <si>
    <t>(240,8)</t>
  </si>
  <si>
    <t>117,1</t>
  </si>
  <si>
    <t>(103,3)</t>
  </si>
  <si>
    <t>(117,1)</t>
  </si>
  <si>
    <t>103,3</t>
  </si>
  <si>
    <t>(73,6)</t>
  </si>
  <si>
    <t>59,5</t>
  </si>
  <si>
    <t>(59,6)</t>
  </si>
  <si>
    <t>EC Radlin</t>
  </si>
  <si>
    <t>(66,0)</t>
  </si>
  <si>
    <t>(52,4)</t>
  </si>
  <si>
    <t>29,7</t>
  </si>
  <si>
    <t>(25,5)</t>
  </si>
  <si>
    <t>64,7</t>
  </si>
  <si>
    <t>(50,8)</t>
  </si>
  <si>
    <t>51,4</t>
  </si>
  <si>
    <t>(29,1)</t>
  </si>
  <si>
    <t>W przypadku CGU Koksownia Jadwiga zmiana powyższych parametrów i założeń przyjętych do testu nie spowoduje zmian wysokości odpisu.</t>
  </si>
  <si>
    <t>Analiza wrażliwości na dzień 31 grudnia 2024 roku</t>
  </si>
  <si>
    <t>Poniżej zaprezentowano, o ile zmieniłaby się wartość odzyskiwalna oraz wysokość odpisu aktualizującego w efekcie zmian kluczowych parametrów dla jednostki objętej odpisem aktualizującym wartość aktywów trwałych na dzień 31 grudnia 2024 roku:</t>
  </si>
  <si>
    <t>(81,9)</t>
  </si>
  <si>
    <t>68,2</t>
  </si>
  <si>
    <t>(68,2)</t>
  </si>
  <si>
    <t>(37,3)</t>
  </si>
  <si>
    <t>(31,6)</t>
  </si>
  <si>
    <t>31,6</t>
  </si>
  <si>
    <t>Utworzenie odpisu aktualizującego z tytułu utraty wartości aktywów trwałych traktowanych jako aktywa koksownicze w Segmencie koksowym w wysokości 24,2 mln PLN oraz odwrócenie odpisu aktualizującego z tytułu utraty wartości aktywów trwałych w kwocie 13,6 mln PLN zostało ujęte w pozycji Utrata wartości niefinansowych aktywów trwałych w skonsolidowanym sprawozdaniu z wyniku finansowego i innych całkowitych dochodów za 2023 roku.</t>
  </si>
  <si>
    <t>â–Ş wartość poniesionych nakładów inwestycyjnych brutto na dzień 31 grudnia 2023 roku wynosi 376,6 mln PLN, pozostałe do poniesienia w 2024 roku nakłady inwestycyjne: 113,3 mln PLN.</t>
  </si>
  <si>
    <t>Grupa dokonuje szacunku parametrów określających dostateczną częstotliwość transakcji i wolumen obrotu na aktywnym rynku w odniesieniu do dłużnych papierów wartościowych w portfelu aktywów FIZ, uzasadniającą ich wartość godziwą. Przeniesienia dłużnych papierów wartościowych między poziomami hierarchii wartości godziwej zostało przedstawione w Nocie 9.2).</t>
  </si>
  <si>
    <t>W okresach koniunktury na rynkach węgla, JSW przekazuje część generowanych nadwyżek pieniężnych i lokuje w FIZ. Środki zgromadzone w FIZ mogą być wykorzystane w okresach załamania koniunktury i/lub w okresie kiedy JSW generuje ujemne przepływy pieniężne. Jednocześnie środki te stanowią wsparcie finansowe dla planowanych w długim i średnim terminie wydatków związanych z realizacją inwestycji o strategicznym znaczeniu dla JSW i Grupy, związanych między innymi z rozbudową mocy wydobywczych, zwiększeniem dostępu do złóż, przeróbką węgla oraz produkcją koksu.</t>
  </si>
  <si>
    <t>Fundusz został utworzony na czas określony, tj. do dnia 30 grudnia 2024 roku, przy czym okres działalności Funduszu może zostać przedłużony maksymalnie o trzy lata. W dniu 30 stycznia 2024 roku Zarząd JSW wyraził zgodę na wydłużenie czasu trwania działania Funduszu o kolejne trzy lata, tj. do 30 grudnia 2027 roku wraz z pozostawieniem możliwości przedłużenia okresu działalności maksymalnie o trzy lata. W dniu 20 marca 2024 roku Zgromadzenie Inwestorów JSW Stabilizacyjnego Funduszu Inwestycyjnego Zamkniętego podjęło uchwałę w sprawie przedłużenia czasu trwania Funduszu.</t>
  </si>
  <si>
    <t>Wartość bilansowa inwestycji w portfel aktywów FIZ na dzień 31 grudnia 2024 roku wynosi 7 956,7 mln PLN (na dzień 31 grudnia 2023 roku: 7 476,0 mln PLN), z czego kwota 503,6 mln PLN prezentowana jest jako aktywa obrotowe.</t>
  </si>
  <si>
    <t>Zobowiązania Funduszu w skonsolidowanym sprawozdaniu z sytuacji finansowej przedstawione jako zobowiązania FIZ na dzień 31 grudnia 2024 roku wyniosły 4 050,5 mln PLN (na dzień 31 grudnia 2023 roku: 1 910,0 mln PLN). Wysokość aktywów netto Funduszu stanowi faktyczne zaangażowanie Jednostki dominującej w wyemitowane przez Fundusz certyfikaty inwestycyjne i na dzień 31 grudnia 2024 roku wyniosła 3 906,2 mln PLN (na dzień 31 grudnia 2023 roku: 5 566,0 mln PLN).</t>
  </si>
  <si>
    <t>W 2024 roku Grupa uzyskała zgody na wycofanie środków z Funduszu, poprzez umorzenie certyfikatów inwestycyjnych FIZ ujętych w skonsolidowanym sprawozdaniu finansowym jako inwestycje w portfel aktywów FIZ. Umorzenie certyfikatów zostało poprzedzone zbyciem aktywów finansowych ulokowanych w Funduszu oraz zawarciem transakcji Sell-Buy-Back.</t>
  </si>
  <si>
    <t>W dniu 4 czerwca 2024 roku Zarząd JSW podjął uchwałę w sprawie udzielenia zgody na umorzenie certyfikatów inwestycyjnych FIZ łącznie do kwoty 1,5 mld PLN do końca 2024 roku. W dniu 19 czerwca 2024 roku Rada Nadzorcza JSW udzieliła zgody na ww. umorzenia certyfikatów inwestycyjnych. Natomiast, w dniu 25 września 2024 roku Zarząd JSW podjął uchwałę w sprawie udzielenia zgody na zwiększenie przyjętego na 2024 rok limitu na umorzenia certyfikatów inwestycyjnych FIZ, który wyniósł łącznie 2,0 mld PLN. W dniu 14 października 2024 roku Rada Nadzorcza JSW udzieliła zgody na ww. zwiększenie limitu na 2024 rok.</t>
  </si>
  <si>
    <t>Wycofanie środków z FIZ w 2024 roku i po dniu kończącym okres sprawozdawczy:</t>
  </si>
  <si>
    <t>zgoda Zarządu JSW</t>
  </si>
  <si>
    <t>zgoda Rady Nadzorczej JSW</t>
  </si>
  <si>
    <t>szacowana</t>
  </si>
  <si>
    <t>wartość</t>
  </si>
  <si>
    <t>data wycofania środków</t>
  </si>
  <si>
    <t>pieniężnych z FIZ (wpływ środków na rachunek Jednostki dominującej)</t>
  </si>
  <si>
    <t>wartość wycofanych</t>
  </si>
  <si>
    <t>środków z FIZ</t>
  </si>
  <si>
    <t>WYCOFANIE ŚRODKÓW z FIZ w 2024 roku</t>
  </si>
  <si>
    <t>4 czerwiec 2024</t>
  </si>
  <si>
    <t>19 czerwiec 2024</t>
  </si>
  <si>
    <t>200,0</t>
  </si>
  <si>
    <t>12 lipiec 2024</t>
  </si>
  <si>
    <t>203,2</t>
  </si>
  <si>
    <t>28 czerwiec 2024</t>
  </si>
  <si>
    <t>300,0</t>
  </si>
  <si>
    <t>30 lipiec 2024</t>
  </si>
  <si>
    <t>305,7</t>
  </si>
  <si>
    <t>22 lipiec 2024</t>
  </si>
  <si>
    <t>490,0</t>
  </si>
  <si>
    <t>4 wrzesień 2024 4 październik 2024</t>
  </si>
  <si>
    <t>101,3 397,7</t>
  </si>
  <si>
    <t>11 wrzesień 2024</t>
  </si>
  <si>
    <t>4 październik 2024 6 listopad 2024</t>
  </si>
  <si>
    <t>203,3 201,9</t>
  </si>
  <si>
    <t>25 wrzesień 2024</t>
  </si>
  <si>
    <t>14 październik 2024</t>
  </si>
  <si>
    <t>13 listopad 2024</t>
  </si>
  <si>
    <t>572,7</t>
  </si>
  <si>
    <t>13 listopad 2024 29 listopad 2024</t>
  </si>
  <si>
    <t>72,9 503,4</t>
  </si>
  <si>
    <t>RAZEM WYCOFANIE ŚRODKÓW Z FIZ</t>
  </si>
  <si>
    <t>2 016,7</t>
  </si>
  <si>
    <t>WYCOFANIE ŚRODKÓW z FIZ po dniu kończącym okres sprawozdawczy</t>
  </si>
  <si>
    <t>28 listopad 2024</t>
  </si>
  <si>
    <t>10 grudzień 2024</t>
  </si>
  <si>
    <t>500,0</t>
  </si>
  <si>
    <t>7 styczeń 2025</t>
  </si>
  <si>
    <t>503,6*</t>
  </si>
  <si>
    <t>3 styczeń 2025</t>
  </si>
  <si>
    <t>5 luty 2025</t>
  </si>
  <si>
    <t>300,7</t>
  </si>
  <si>
    <t>22 styczeń 2025</t>
  </si>
  <si>
    <t>29 styczeń 2025</t>
  </si>
  <si>
    <t>26 luty 2025</t>
  </si>
  <si>
    <t>28 styczeń 2025</t>
  </si>
  <si>
    <t>12 luty 2025</t>
  </si>
  <si>
    <t>14 marca 2025</t>
  </si>
  <si>
    <t>201,6</t>
  </si>
  <si>
    <t>19 luty 2025</t>
  </si>
  <si>
    <t>27 luty 2025</t>
  </si>
  <si>
    <t>250,0</t>
  </si>
  <si>
    <t>27 marca 2025</t>
  </si>
  <si>
    <t>253,0</t>
  </si>
  <si>
    <t>5 marzec 2025</t>
  </si>
  <si>
    <t>13 marzec 2025</t>
  </si>
  <si>
    <t>3 kwiecień 2025</t>
  </si>
  <si>
    <t>303,1</t>
  </si>
  <si>
    <t>2 kwietnia 2025</t>
  </si>
  <si>
    <t>4 kwietnia 2025</t>
  </si>
  <si>
    <t>po dniu publikacji niniejszego sprawozdania</t>
  </si>
  <si>
    <t>* W związku z udzieloną zgodą Rady Nadzorczej JSW z dnia 10 grudnia 2024 roku, Grupa dokonała wycofania środków z FIZ w kwocie 503,6 mln PLN po dniu kończącym okres sprawozdawczy, tj. w dniu 7 stycznia 2025 roku i w związku z tym, w niniejszym skonsolidowanym sprawozdaniu finansowym, inwestycje w portfel aktywów FIZ o wartości 503,6 mln PLN zostały zaprezentowane jako aktywa obrotowe.</t>
  </si>
  <si>
    <t>Każda zgoda Zarządu JSW na umorzenie certyfikatów inwestycyjnych wymaga uzyskania zgody Rady Nadzorczej JSW, której uzyskanie nie jest pewne. Przed tą formalną zgodą Rady Nadzorczej JSW, inwestycje w portfel aktywów FIZ będące przedmiotem ww. zgody Zarządu JSW, nie powinny być zaprezentowane jako aktywa obrotowe.</t>
  </si>
  <si>
    <t>Środki uzyskane z tytułu umorzenia certyfikatów inwestycyjnych FIZ są wykorzystywane zarówno na cele związane z bieżącą działalnością Grupy, jak i na realizację działalności inwestycyjnej.</t>
  </si>
  <si>
    <t>AKTYWA FIZ</t>
  </si>
  <si>
    <t>7 956,7 7 476,0</t>
  </si>
  <si>
    <t>Aktywa finansowe wyceniane w wartości godziwej przez wynik finansowy</t>
  </si>
  <si>
    <t>7 953,6 7 474,2</t>
  </si>
  <si>
    <t>Listy zastawne (nienotowane na aktywnym rynku)</t>
  </si>
  <si>
    <t>55,9 203,9</t>
  </si>
  <si>
    <t>Dłużne papiery wartościowe 7 853,9 7 213,3</t>
  </si>
  <si>
    <t>Instrumenty pochodne* 43,8 57,0</t>
  </si>
  <si>
    <t>Aktywa finansowe wyceniane według zamortyzowanego kosztu 3,1 1,8</t>
  </si>
  <si>
    <t>Środki pieniężne i ich ekwiwalenty 2,7 1,6</t>
  </si>
  <si>
    <t>Należności FIZ 0,4 0,2</t>
  </si>
  <si>
    <t>ZOBOWIĄZANIA FIZ (4 050,5) (1 910,0)</t>
  </si>
  <si>
    <t>Zobowiązania (4 050,5) (1 910,0)</t>
  </si>
  <si>
    <t>Instrumenty pochodne* (5,3) (9,7)</t>
  </si>
  <si>
    <t>Zobowiązania z tytułu transakcji przy zobowiązaniu się FIZ do odkupu (transakcje Sell Buy Back)** (4 004,7) (1 796,6)</t>
  </si>
  <si>
    <t>(40,5) (103,7)</t>
  </si>
  <si>
    <t>AKTYWA NETTO FIZ 3 906,2 5 566,0</t>
  </si>
  <si>
    <t>* Na dzień 31 grudnia 2024 roku Fundusz posiadał czynne transakcje pochodne prezentowane po stronie aktywów, których łączna wartość godziwa wynosi 43,8 mln PLN:</t>
  </si>
  <si>
    <t>- swap procentowy (IRS) w PLN zmieniający stopę stałą na zmienną, o łącznym nominale 455,0 mln PLN z datą zapadalności od maja 2025 roku do lipca 2030 roku,</t>
  </si>
  <si>
    <t>- Fx Swap - transakcje zabezpieczające kwotę nominalną wraz z odsetkami obligacji, bonów skarbowych oraz listów zastawnych denominowanych w walutach obcych o łącznym nominale 20,9 mln EUR z datą zapadalności do 31 stycznia 2025 roku,</t>
  </si>
  <si>
    <t>- Fx Forward - transakcje zabezpieczające kwotę nominalną wraz z odsetkami obligacji, bonów skarbowych oraz listów zastawnych denominowanych w walutach obcych o łącznym nominale 55,2 mln EUR z datą zapadalności do 14 marca 2025 roku.</t>
  </si>
  <si>
    <t>Natomiast transakcje pochodne zaprezentowane na dzień 31 grudnia 2024 roku jako zobowiązania, których łączna wartość godziwa wynosi 5,3 mln PLN to:</t>
  </si>
  <si>
    <t>- swap procentowy (IRS) w PLN o łącznym nominale 90,0 mln PLN z datą zapadalności do stycznia 2033 roku.</t>
  </si>
  <si>
    <t>Na dzień 31 grudnia 2023 roku Fundusz posiadał czynne transakcje pochodne prezentowane po stronie aktywów, których łączna wartość godziwa wynosi 57,0 mln PLN:</t>
  </si>
  <si>
    <t>** Transakcje Sell-Buy-Back (â€žSBBâ€ť) polegają na sprzedaży posiadanych papierów wartościowych z jednoczesnym ustaleniem ich odkupu w przyszłości na ustalonych przez strony warunkach. Transakcja nie skutkuje usunięciem sprzedawanych aktywów ze skonsolidowanego sprawozdania z sytuacji finansowej, lecz ujęciem otrzymanych środków pieniężnych jako zobowiązanie ze względu na fakt, iż wszystkie ryzyka i korzyści z instrumentów finansowych będących przedmiotem transakcji nie zostały przeniesione na kupującego. Fundusz zawierając transakcje SBB, ma prawo rozporządzać papierami wartościowymi w okresie trwania transakcji SBB w taki sposób, aby na dzień rozliczenia transakcji istniała możliwość spłaty zobowiązania SBB papierami wartościowymi objętymi przedmiotowymi transakcjami. Strona, z którą FIZ zawarł transakcje SBB może egzekwować spłaty zobowiązania, nie tylko z tytułu papierów wartościowych będących przedmiotem transakcji SBB, ale również z innych aktywów Funduszu. Spadek/wzrost wartości papierów wartościowych nie powinien wpływać na rozliczenie transakcji SBB, gdyż transakcje zawierane są z profesjonalnymi uczestnikami rynku kapitałowego i bezpieczeństwo rozliczenia transakcji jest wysokie. Transakcje SBB są zawierane w ciągu okresu sprawozdawczego w celu efektywnego zarzadzania środkami Funduszu oraz zwiększenia stopy zwrotu z inwestycji. Na dzień 31 grudnia 2024 roku wartość bilansowa przeniesionych aktywów finansowych wynosi 4 003,6 mln PLN. Zobowiązania z tytułu transakcji SBB na dzień 31 grudnia 2024 roku wynoszą 4 004,7 mln PLN i obejmują transakcje zawarte na portfelu JSW Stabilizacyjny FIZ w datach: 26 listopada do 30 grudnia 2024 roku z datą odkupu w dniach od 2 do 20 stycznia 2025 roku (na dzień 31 grudnia 2023 roku zobowiązania z tytułu transakcji SBB wynosiły 1 796,6 mln PLN i obejmowały transakcje zawarte na portfelu JSW Stabilizacyjny FIZ w datach: 1 do 28 grudnia 2023 roku z datą odkupu od 2 stycznia do 7 lutego 2024 roku). Różnica między ceną sprzedaży i odkupu jest traktowana odpowiednio jako koszty odsetkowe i jest rozliczana w czasie trwania umowy z zastosowaniem efektywnej stopy procentowej. W 2024 roku koszt odsetkowy z transakcji SBB wyniósł 163,6 mln PLN i został ujęty w pozostałych zyskach/(stratach)-netto (w 2023 roku: 155,4 mln PLN).</t>
  </si>
  <si>
    <t>31.12.2024 31.12.2023</t>
  </si>
  <si>
    <t>PLN EUR USD Razem PLN EUR USD Razem</t>
  </si>
  <si>
    <t>AKTYWA FIZ 7 635,3 289,9 31,5 7 956,7 7 059,2 179,0 237,8 7 476,0</t>
  </si>
  <si>
    <t>Środki pieniężne i ich ekwiwalenty 1,6 1,0 0,1 2,7 1,2 0,2 0,2 1,6</t>
  </si>
  <si>
    <t>Należności 0,4 - - 0,4 0,2 - - 0,2</t>
  </si>
  <si>
    <t>Składniki lokat notowane na aktywnym rynku 4 908,5 - - 4 908,5 5 124,1 - 130,1 5 254,2</t>
  </si>
  <si>
    <t>Składniki lokat nienotowane na aktywnym rynku</t>
  </si>
  <si>
    <t>2 724,8 288,9 31,4 3 045,1 1 933,7 178,8 107,5 2 220,0</t>
  </si>
  <si>
    <t>ZOBOWIĄZANIA FIZ 4 050,3 - 0,2 4 050,5 1 910,0 - - 1 910,0</t>
  </si>
  <si>
    <t>31 grudnia 2024 31 grudnia 2023</t>
  </si>
  <si>
    <t>(Wpłata)/wycofanie środków przez Grupę do/z FIZ, netto 2 016,7 -</t>
  </si>
  <si>
    <t>Wpływy/(wydatki) netto z transakcji SBB 2 044,3 (437,4)</t>
  </si>
  <si>
    <t>Wydatki netto na dłużne papiery wartościowe oraz listy zastawne (525,6) (171,2)</t>
  </si>
  <si>
    <t>Zmiana stanu pozostałych aktywów oraz zobowiązań i kapitałów własnych FIZ</t>
  </si>
  <si>
    <t>(1 518,7) 608,6</t>
  </si>
  <si>
    <t>PRZEPŁYWY NETTO Z INWESTYCJI FIZ W SKONSOLIDOWANYM SPRAWOZDANIU Z PRZEPŁYWÓW PIENIĘŻNYCH 2 016,7 -</t>
  </si>
  <si>
    <t>Środki ulokowane w portfel aktywów FIZ są istotnym elementem â€žBufora Gotówkiâ€ť tj. zobowiązania wynikającego z Umowy Finansowania z Konsorcjum z dnia 12 kwietnia 2023 roku. Wymagalne saldo Bufora Gotówki wynosi 750,0 mln PLN z wyłączeniem środków uruchomionych w ramach kredytu odnawialnego w ramach wyżej wymienionej umowy (na dzień 31 grudnia 2023 roku wymagalne saldo Bufora Gotówki wynosiło 750,0 mln PLN). Na dzień 31 grudnia 2024 roku oraz 31 grudnia 2023 roku warunek dotyczący utrzymywania Bufora Gotówki został spełniony.</t>
  </si>
  <si>
    <t>Kwoty odzwierciedlające maksymalne narażenie na ryzyko kredytowe bez uwzględnienia wartości godziwych dodatkowych zabezpieczeń: 7 956,7 7 476,0</t>
  </si>
  <si>
    <t>- Środki na rachunkach bankowych 2,7 1,6</t>
  </si>
  <si>
    <t>- Należności 0,4 0,2</t>
  </si>
  <si>
    <t>- Składniki lokat notowane na aktywnym rynku (w tym: obligacje Skarbu Państwa)</t>
  </si>
  <si>
    <t>4 908,5 5 254,2</t>
  </si>
  <si>
    <t>- Składniki lokat nienotowane na aktywnym rynku 3 045,1 2 220,0</t>
  </si>
  <si>
    <t>Przypadki znaczącej koncentracji ryzyka kredytowego w poszczególnych kategoriach inwestycji w podziale na kategorie bilansowe: 7 369,4 6 559,7</t>
  </si>
  <si>
    <t>BANK GOSPODARSTWA KRAJOWEGO ("BGK") 2 460,9 1 305,5</t>
  </si>
  <si>
    <t>Obligacje nienotowane na aktywnym rynku 2 460,9 1 305,5</t>
  </si>
  <si>
    <t>SKARB PAŁSTWA RZECZPOSPOLITEJ POLSKIEJ</t>
  </si>
  <si>
    <t>Obligacje notowane na aktywnym rynku 4 908,5 5 254,2</t>
  </si>
  <si>
    <t>FITCH 61,71% 70,30%</t>
  </si>
  <si>
    <t>FITCH 30,94% 17,47%</t>
  </si>
  <si>
    <t>FITCH 2,11% -</t>
  </si>
  <si>
    <t>FITCH 2,09% 0,12%</t>
  </si>
  <si>
    <t>Obligacje PFR</t>
  </si>
  <si>
    <t>FITCH 1,97% 2,03%</t>
  </si>
  <si>
    <t>- 1,18% 10,08%</t>
  </si>
  <si>
    <t>100,00% 100,00%</t>
  </si>
  <si>
    <t>Zgodnie z postanowieniami ustawy Prawo geologiczne i górnicze, Jednostka dominująca jest zobligowana do gromadzenia środków pieniężnych na wyodrębnionym rachunku bankowym Funduszu Likwidacji Zakładów Górniczych (â€žFLZGâ€ť), które mogą być wydatkowane wyłącznie na sfinansowanie całkowitej lub częściowej likwidacji zakładu górniczego. Odpis na FLZG w 2024 roku został ustalony w wysokości 3% odpisów amortyzacyjnych od rzeczowych aktywów trwałych zakładów górniczych ustalonych stosownie do przepisów o podatku dochodowym.</t>
  </si>
  <si>
    <t>Środki pieniężne i och ekwiwalenty Funduszu Likwidacji Zakładów Górniczych</t>
  </si>
  <si>
    <t>9.1 442,7 429,3</t>
  </si>
  <si>
    <t>442,9 429,5</t>
  </si>
  <si>
    <t>odpis aktualizujący (0,2) (0,2)</t>
  </si>
  <si>
    <t>9.1 25,8 -</t>
  </si>
  <si>
    <t>wartość brutto 25,8 -</t>
  </si>
  <si>
    <t>9.1 3,6 3,1</t>
  </si>
  <si>
    <t>Udziały i akcje w jednostkach pozostałych 0,1 0,1</t>
  </si>
  <si>
    <t>25,3 26,4</t>
  </si>
  <si>
    <t>RAZEM 497,5 458,9</t>
  </si>
  <si>
    <t>Wartość rozchodu materiałów oraz towarów ustala się z zastosowaniem metody â€žpierwsze przyszło â€“ pierwsze wyszłoâ€ť (FIFO).</t>
  </si>
  <si>
    <t>Ceny węgla koksowego zakładane są zgodnie z ustalonymi cenami miesięcznymi z największym odbiorcą. Dla węgla do celów energetycznych zastosowano najniższą cenę, po której będą realizowane wysyłki w sprzedaży do energetyki zawodowej.</t>
  </si>
  <si>
    <t>Wyroby gotowe</t>
  </si>
  <si>
    <t>811,5 807,4</t>
  </si>
  <si>
    <t>Materiały 369,9 344,3</t>
  </si>
  <si>
    <t>Produkcja w toku 13,7 18,3</t>
  </si>
  <si>
    <t>Towary</t>
  </si>
  <si>
    <t>1,5 1,9</t>
  </si>
  <si>
    <t>Zapas wyrobów gotowych na dzień 31 grudnia 2024 roku obejmuje m.in. zapas 1 407,1 tys. ton węgla wyprodukowanego w Grupie o wartości 640,2 mln PLN oraz zapas 147,1 tys. ton koksu wyprodukowanego w Grupie o wartości 162,0 mln PLN (na dzień 31 grudnia 2023 roku: 761,6 tys. ton węgla o wartości 469,0 mln PLN oraz 285,7 tys. ton koksu o wartości 325,0 mln PLN).</t>
  </si>
  <si>
    <t>Utworzenie odpisu 382,9 79,0</t>
  </si>
  <si>
    <t>Wykorzystanie odpisu (16,0) (1,9)</t>
  </si>
  <si>
    <t>(0,2) -</t>
  </si>
  <si>
    <t>STAN NA 31 GRUDNIA 470,4 103,7</t>
  </si>
  <si>
    <t>Utworzenie odpisu z tytułu utraty wartości zapasów zostało ujęte jako koszty bieżącego okresu sprawozdawczego, z czego 378,0 mln PLN dotyczy zapasu wyrobów gotowych (węgiel), 4,3 mln PLN zapasu materiałów, a 0,6 mln PLN produktów w toku (w 2023 roku: 66,0 mln PLN dotyczyło zapasu wyrobów gotowych, a 13,0 mln PLN dotyczyło zapasu materiałów).</t>
  </si>
  <si>
    <t>Nota 31.12.2024 31.12.2023</t>
  </si>
  <si>
    <t>1 127,1 1 470,3</t>
  </si>
  <si>
    <t>17,3 38,9</t>
  </si>
  <si>
    <t>(56,8) (69,6)</t>
  </si>
  <si>
    <t>9.1 1 070,3 1 400,7</t>
  </si>
  <si>
    <t>34,5 42,9</t>
  </si>
  <si>
    <t>11,8 46,8</t>
  </si>
  <si>
    <t>226,1 267,1</t>
  </si>
  <si>
    <t>43,1 40,9</t>
  </si>
  <si>
    <t>1 385,8 1 798,4</t>
  </si>
  <si>
    <t>Należności handlowe [PLN]</t>
  </si>
  <si>
    <t>669,1 850,9</t>
  </si>
  <si>
    <t>Należności handlowe [EUR]</t>
  </si>
  <si>
    <t>275,3 467,5</t>
  </si>
  <si>
    <t>Należności handlowe [USD]</t>
  </si>
  <si>
    <t>125,5 81,9</t>
  </si>
  <si>
    <t>Należności handlowe [CZK]</t>
  </si>
  <si>
    <t>0,4 0,4</t>
  </si>
  <si>
    <t>NALEŻNOŚCI HANDLOWE RAZEM</t>
  </si>
  <si>
    <t>1 070,3 1 400,7</t>
  </si>
  <si>
    <t>31.12.2023 Odpis na należności handlowe, dla których nie stwierdzono utraty wartości Odpis na należności handlowe ze stwierdzoną utratą wartości RAZEM</t>
  </si>
  <si>
    <t>STAN NA 1 STYCZNIA 1,3 68,3 69,6</t>
  </si>
  <si>
    <t>51,3</t>
  </si>
  <si>
    <t>Utworzenie odpisu 0,2 12,2 12,4</t>
  </si>
  <si>
    <t>Wykorzystanie odpisu - (8,1) (8,1)</t>
  </si>
  <si>
    <t>Odwrócenie kwot niewykorzystanych (0,6) (3,6) (4,2)</t>
  </si>
  <si>
    <t>(10,9)</t>
  </si>
  <si>
    <t>(11,0)</t>
  </si>
  <si>
    <t>Przesunięcie odpisu* - (12,9) (12,9)</t>
  </si>
  <si>
    <t>STAN NA 31 GRUDNIA 0,9 55,9 56,8</t>
  </si>
  <si>
    <t>69,6</t>
  </si>
  <si>
    <t>* Przesunięcie odpisów pomiędzy należnościami handlowymi i pozostałymi należnościami.</t>
  </si>
  <si>
    <t>Na wartość utworzonego w 2024 roku odpisu na należności handlowe w wysokości 12,4 mln PLN wpływ miało głównie utworzenie w jednostce dominującej odpisu dla należności z tytułu spornych kar umownych od kilku kontrahentów w łącznej kwocie 6,0 mln PLN.</t>
  </si>
  <si>
    <t>Strukturę należności handlowych oraz odpisów z tytułu utraty wartości w podziale na grupy ustalone na bazie podobieństwa charakterystyki ryzyka kredytowego, według stanu na dzień 31 grudnia 2024 roku, przedstawia poniższa tabela:</t>
  </si>
  <si>
    <t>Nieprzeterminowane</t>
  </si>
  <si>
    <t>do 1</t>
  </si>
  <si>
    <t>od 1 do 3</t>
  </si>
  <si>
    <t>od 3 do 6</t>
  </si>
  <si>
    <t>od 6 do 12</t>
  </si>
  <si>
    <t>powyżej 12</t>
  </si>
  <si>
    <t>miesiąca</t>
  </si>
  <si>
    <t>miesięcy</t>
  </si>
  <si>
    <t>miesięcy *</t>
  </si>
  <si>
    <t>Należności handlowe węglowo-koksowe - od głównych kontrahentów wartość brutto 709,9 99,4 - - - - 809,3 (udział w przychodach ze sprzedaży powyżej 2,5%) odpis aktualizujący (0,2) - - - - - (0,2) - od pozostałych kontrahentów wartość brutto 123,6 3,1 - - - - 126,7 (udział w przychodach ze sprzedaży poniżej 2,5%) odpis aktualizujący (0,2) - - - - - (0,2)</t>
  </si>
  <si>
    <t>Należności handlowe pozostałe Należności handlowe pozostałe wartość brutto 131,4 2,1 1,2 0,5 - - 135,2 odpis aktualizujący (0,2) - (0,1) (0,2) - - (0,5) Należności handlowe ze stwierdzoną utratą wartości Należności handlowe ze stwierdzoną utratą wartości wartość brutto 1,5 0,3 0,1 1,8 3,0 49,2 55,9 odpis aktualizujący (1,5) (0,3) (0,1) (1,8) (3,0) (49,2) (55,9) RAZEM NALEŻNOŚCI HANDLOWE BRUTTO 966,4 104,9 1,3 2,3 3,0 49,2 1 127,1 RAZEM ODPIS NA NALEŻNOŚCI HANDLOWE (2,1) (0,3) (0,2) (2,0) (3,0) (49,2) (56,8)</t>
  </si>
  <si>
    <t>* Pozycja ta dotyczy należności handlowych objętych w większości postępowaniami upadłościowymi oraz należności handlowych po wyrokach sądowych. Należności te są w całości objęte odpisem aktualizującym. Strukturę należności handlowych oraz odpisów z tytułu utraty wartości w podziale na grupy ustalone na bazie podobieństwa charakterystyki ryzyka kredytowego, według stanu na dzień 31 grudnia 2023 roku, przedstawia poniższa tabela:</t>
  </si>
  <si>
    <t>miesiąca miesięcy miesięcy miesięcy</t>
  </si>
  <si>
    <t>- od głównych kontrahentów</t>
  </si>
  <si>
    <t>wartość brutto 779,0 91,2 - - - - 870,2</t>
  </si>
  <si>
    <t>(udział w przychodach ze sprzedaży powyżej 2,5%)</t>
  </si>
  <si>
    <t>odpis aktualizujący (0,2) - - - - - (0,2)</t>
  </si>
  <si>
    <t>- od pozostałych kontrahentów</t>
  </si>
  <si>
    <t>wartość brutto 329,1 6,0 - - - - 335,1</t>
  </si>
  <si>
    <t>(udział w przychodach ze sprzedaży poniżej 2,5%)</t>
  </si>
  <si>
    <t>odpis aktualizujący (0,9) - - - - - (0,9)</t>
  </si>
  <si>
    <t>wartość brutto 160,2 3,0 1,3 - 0,1 0,1 164,7</t>
  </si>
  <si>
    <t>odpis aktualizujący - - - - (0,1) (0,1) (0,2)</t>
  </si>
  <si>
    <t>wartość brutto 0,5 0,1 23,9 23,1 6,0 46,7 100,3</t>
  </si>
  <si>
    <t>odpis aktualizujący (0,5) (0,1) (10,8) (4,2) (6,0) (46,7) (68,3)</t>
  </si>
  <si>
    <t>RAZEM NALEŻNOŚCI HANDLOWE BRUTTO 1 268,8 100,3 25,2 23,1 6,1 46,8 1 470,3</t>
  </si>
  <si>
    <t>RAZEM ODPIS NA NALEŻNOŚCI HANDLOWE (1,6) (0,1) (10,8) (4,2) (6,1) (46,8) (69,6)</t>
  </si>
  <si>
    <t>od głównych kontrahentów (udział w przychodach ze sprzedaży powyżej 2,5%) Odpis ustalany indywidualnie z wykorzystaniem ratingów zewnętrznych PD od 0,04% do 1,02%</t>
  </si>
  <si>
    <t>PD od 0,04% do 0,55%</t>
  </si>
  <si>
    <t>od pozostałych kontrahentów (udział w przychodach ze sprzedaży poniżej 2,5%) Odpis ustalono w oparciu o średnioważony wskaźnik niewypełnienia zobowiązania PD średni = 2,746%</t>
  </si>
  <si>
    <t>PD średni = 4,299%</t>
  </si>
  <si>
    <t>- nieprzeterminowane â–Ş 0,11% -1,3%</t>
  </si>
  <si>
    <t>â–Ş 0,07% - 0,39%</t>
  </si>
  <si>
    <t>- przeterminowane do 1 miesiąca â–Ş 0,07% - 0,11%</t>
  </si>
  <si>
    <t>- przeterminowane do 1 do 3 miesięcy â–Ş 2,22% - 7,84%</t>
  </si>
  <si>
    <t>â–Ş 2,22% - 2,99%</t>
  </si>
  <si>
    <t>439,5 779,2</t>
  </si>
  <si>
    <t>439,6 779,3</t>
  </si>
  <si>
    <t>odpis aktualizujący (0,1) (0,1)</t>
  </si>
  <si>
    <t>Krótkoterminowe depozyty bankowe, w tym: 445,5 1 911,6</t>
  </si>
  <si>
    <t>Lokaty bankowe 445,2 1 908,4</t>
  </si>
  <si>
    <t>wartość brutto 445,3 1 908,9</t>
  </si>
  <si>
    <t>odpis aktualizujący (0,1) (0,5)</t>
  </si>
  <si>
    <t>0,3 3,2</t>
  </si>
  <si>
    <t>RAZEM 9.1 885,0 2 690,8</t>
  </si>
  <si>
    <t>149,0 113,3</t>
  </si>
  <si>
    <t>Wartość środków pieniężnych o ograniczonej możliwości dysponowania na dzień 31 grudnia 2024 roku wynosi 149,0 mln PLN (31 grudnia 2023 roku: 113,3 mln PLN) i obejmuje środki zgromadzone na rachunku VAT w ramach split payment, wadia, dotacje, zabezpieczenia należytego wykonania umowy oraz środki otrzymane przez JZR na podstawie umowy z Ministrem Skarbu Państwa o udzielenie wsparcia niebędącego pomocą publiczną. Grupa w toku prowadzonej działalności na bieżąco reguluje płatności z powyższych tytułów.</t>
  </si>
  <si>
    <t>Środki pieniężne i ich ekwiwalenty zostały zaklasyfikowane na 31 grudnia 2024 roku oraz 31 grudnia 2023 roku do Stopnia 1 klasyfikacji pod kątem utraty ich wartości, ze względu na wysoką ocenę jakości kredytowej, a potencjalny odpis jest nieistotny, stąd nie zaprezentowano ruchów na tym odpisie w roku 2024 i 2023. Ujawnienia dotyczące oceny jakości kredytowej według zewnętrznych ratingów oraz informacja na temat koncentracji ryzyka kredytowego przedstawiono w Nocie 9.5.1(d).</t>
  </si>
  <si>
    <t>408,3 714,4</t>
  </si>
  <si>
    <t>Krótkoterminowe depozyty bankowe 397,9 1 868,1</t>
  </si>
  <si>
    <t>RAZEM 806,2 2 582,5</t>
  </si>
  <si>
    <t>Środki pieniężne w banku i w kasie 26,3 38,8</t>
  </si>
  <si>
    <t>Krótkoterminowe depozyty bankowe 41,4 43,5</t>
  </si>
  <si>
    <t>RAZEM 67,7 82,3</t>
  </si>
  <si>
    <t>Środki pieniężne w banku i w kasie 4,2 24,5</t>
  </si>
  <si>
    <t>Krótkoterminowe depozyty bankowe 6,2 -</t>
  </si>
  <si>
    <t>RAZEM 10,4 24,5</t>
  </si>
  <si>
    <t>0,7 1,5</t>
  </si>
  <si>
    <t>RAZEM 885,0 2 690,8</t>
  </si>
  <si>
    <t>Stan na 31 grudnia 2024 roku</t>
  </si>
  <si>
    <t>Na dzień 31 grudnia 2024 roku kapitał zakładowy JSW wynosił 587 057 980,00 PLN i dzielił się na 117 411 596 akcji zwykłych nieuprzywilejowanych co do głosu, w pełni opłaconych, o wartości nominalnej 5,00 PLN każda. Na dzień kończący okres sprawozdawczy wszystkie akcje Jednostki dominującej były wyemitowane i zarejestrowane. Ogólna liczba głosów wynikająca z wszystkich wyemitowanych przez JSW akcji odpowiada 117 411 596 głosom na Walnym Zgromadzeniu JSW.</t>
  </si>
  <si>
    <t>Kapitał zakładowy Jednostki dominującej na dzień 31 grudnia 2024 roku i 31 grudnia 2023 roku składa się z następujących serii akcji:</t>
  </si>
  <si>
    <t>Na dzień 31 grudnia 2024 roku i na dzień zatwierdzenia niniejszego skonsolidowanego sprawozdania finansowego struktura akcjonariatu JSW przedstawia się następująco*:</t>
  </si>
  <si>
    <t>* Zgodnie z Raportem bieżącym nr 57/2024 z dnia 25 października 2024 roku akcjonariuszem posiadającym co najmniej 5% głosów na ostatnim Zwyczajnym Walnym Zgromadzeniu JSW, które odbyło się w dniu 25 października 2024 roku był Skarb Państwa z liczbą głosów 64 387 333, co stanowiło 54,84% udziału w głosach ogółem.</t>
  </si>
  <si>
    <t>JSW nie posiada szczegółowego zestawienia struktury akcjonariatu na dzień 31 grudnia 2024 roku ani na dzień zatwierdzenia niniejszego skonsolidowanego sprawozdania finansowego. W okresie sprawozdawczym JSW nie otrzymała informacji o przekroczeniu progów procentowych ogólnej liczby głosów określonych w art. 69 ust. 1 Ustawy o ofercie publicznej i warunkach wprowadzania instrumentów finansowych do zorganizowanego systemu obrotu oraz o spółkach publicznych. Jedynym akcjonariuszem JSW posiadającym, zarówno na dzień 31 grudnia 2024 roku, jak i na dzień zatwierdzenia i publikacji niniejszego skonsolidowanego sprawozdania finansowego, liczbę akcji stanowiącą co najmniej 5% kapitału zakładowego i jednocześnie dającą prawo do takiej samej liczby głosów na Walnym Zgromadzeniu był Skarb Państwa.</t>
  </si>
  <si>
    <t>Zyski zatrzymane Grupy Kapitałowej Jastrzębskiej Spółki Węglowej S.A. na dzień 31 grudnia 2024 roku wynosiły 7 128,9 mln PLN (na 31 grudnia 2023 roku wynosiły 14 305,0 mln PLN) i na dzień kończący okres sprawozdawczy składały się głównie z kapitału zapasowego Jednostki dominującej w wysokości 11 958,3 mln PLN (na 31 grudnia 2023 roku: 10 526,8 mln PLN).</t>
  </si>
  <si>
    <t>Nazwa spółki Siedziba Procentowa wielkość udziałów niekontrolujących Zysk/(strata) netto przypadający/(a) na udziały niekontrolujące za rok Skumulowana wartość udziałów niekontrolujących</t>
  </si>
  <si>
    <t>31.12.2024 31.12.2023 2024 2023 31.12.2024 31.12.2023 JZR Jastrzębie- Zdrój 39,60% 39,60% 29,2 26,0 430,6 401,6 JSW KOKS Zabrze 3,72% 3,72% (74,6) (24,7) 17,3 91,7 PBSz Tarnowskie Góry 4,19% 4,19% 0,7 - 6,1 5,4 Pozostałe jednostki zależne posiadające udziały niekontrolujące - Nota 1.2 Nota 1.2 2,3 1,9 5,8 3,6 RAZEM - - - (42,4) 3,2 459,8 502,3</t>
  </si>
  <si>
    <t>Wyszczególnienie JZR JSW KOKS PBSz</t>
  </si>
  <si>
    <t>2024 2023 2024 2023 2024 2023 SPRAWOZDANIE Z SYTUACJI FINANSOWEJ Aktywa trwałe 610,8 672,0 1 275,4 2 643,3 132,2 133,0 Aktywa obrotowe 786,4 784,8 786,1 1 840,7 211,1 204,2 Kapitał własny 1 087,5 1 014,1 464,0 2 465,1 144,8 128,9 Zobowiązania długoterminowe 42,8 46,0 480,0 612,6 35,5 38,8 Zobowiązania krótkoterminowe 266,9 396,7 1 117,5 1 406,3 163,0 169,5 SPRAWOZDANIE Z WYNIKU FINANSOWEGO I INNYCH CAŁKOWITYCH DOCHODÓW Przychody ze sprzedaży 889,1 816,7 4 496,8 5 618,2 580,1 499,1 Zysk/(strata) netto 73,7 65,7 (2 004,4) (665,9) 17,3 0,9 Całkowite dochody razem 73,4 64,9 (2 001,0) (675,6) 15,9 (0,6) SPRAWOZDANIE Z PRZEPŁYWÓW PIENIĘŻNYCH Przepływy pieniężne netto z działalności operacyjnej</t>
  </si>
  <si>
    <t>52,6 272,5 (381,7) (243,5) 82,3 62,3 Przepływy pieniężne netto z działalności inwestycyjnej</t>
  </si>
  <si>
    <t>(14,9) (97,0) (427,7) (482,4) (12,3) (16,7) Przepływy pieniężne netto z działalności finansowej</t>
  </si>
  <si>
    <t>(7,8) (7,8) 149,9 304,2 (24,2) (29,4)</t>
  </si>
  <si>
    <t>Zmiana netto stanu środków pieniężnych i ich ekwiwalentów</t>
  </si>
  <si>
    <t>29,9 167,7 (659,5) (421,7) 45,8 16,2</t>
  </si>
  <si>
    <t>Liczba akcji zwykłych na dzień dywidendy (szt.)</t>
  </si>
  <si>
    <t>DYWIDENDA NA AKCJĘ (W PLN NA JEDNĄ AKCJĘ)</t>
  </si>
  <si>
    <t>Na dzień 31 grudnia 2024 roku oraz 31 grudnia 2023 roku w JSW występowały ograniczenia dot. wypłaty dywidendy wynikające z zapisów zawartej w dniu 12 kwietnia 2023 roku przez JSW i Konsorcjum Umowy Finansowania (szczegóły Umowy Finansowania w Nocie 6.1.).</t>
  </si>
  <si>
    <t>Podział zysku za rok 2023/ podział zysku z lat ubiegłych</t>
  </si>
  <si>
    <t>W dniu 23 lipca 2024 roku Zwyczajne Walne Zgromadzenie JSW podjęło decyzję w sprawie przeznaczenia zysku netto JSW za rok obrotowy zakończony 31 grudnia 2023 roku w wysokości 1 387,2 mln PLN na pokrycie straty powstałej w JSW w innych całkowitych dochodach w kwocie 63,4 mln PLN oraz na kapitał zapasowy Jednostki dominującej w kwocie 1 323,8 mln PLN.</t>
  </si>
  <si>
    <t>W dniu 23 lipca 2024 roku Zwyczajne Walne Zgromadzenie JSW podjęło decyzję w sprawie przeznaczenia zysku z lat ubiegłych JSW powstałego w wyniku dokonanej w 2023 roku zmiany Polityki (zasad) rachunkowości w wysokości 107,7 mln PLN na kapitał zapasowy Jednostki dominującej.</t>
  </si>
  <si>
    <t>Propozycja pokrycia straty za 2024 rok</t>
  </si>
  <si>
    <t>W 2024 roku JSW poniosła stratę netto w wysokości 6 331,4 mln PLN, którą Zarząd Jednostki dominującej będzie proponował pokryć z kapitału zapasowego.</t>
  </si>
  <si>
    <t>Główne założenia aktuarialne przyjęte do wyceny na dzień 31 grudnia 2024 roku zostały przedstawione w dalszej części Noty.</t>
  </si>
  <si>
    <t>- odpraw emerytalnych i rentowych</t>
  </si>
  <si>
    <t>274,8 316,2</t>
  </si>
  <si>
    <t>- nagród jubileuszowych</t>
  </si>
  <si>
    <t>503,6 625,6</t>
  </si>
  <si>
    <t>- rent wyrównawczych</t>
  </si>
  <si>
    <t>82,7 108,7</t>
  </si>
  <si>
    <t>- odpraw pośmiertnych</t>
  </si>
  <si>
    <t>17,2 23,8</t>
  </si>
  <si>
    <t>- odpisów na ZFŚS dla emerytów i rencistów</t>
  </si>
  <si>
    <t>24,2 18,0</t>
  </si>
  <si>
    <t>- pozostałych świadczeń dla pracowników</t>
  </si>
  <si>
    <t>169,0 160,9</t>
  </si>
  <si>
    <t>1 071,5 1 253,2</t>
  </si>
  <si>
    <t>- długoterminowe</t>
  </si>
  <si>
    <t>767,3 960,2</t>
  </si>
  <si>
    <t>- krótkoterminowe</t>
  </si>
  <si>
    <t>304,2 293,0</t>
  </si>
  <si>
    <t>Kwoty zobowiązań z tytułu świadczeń pracowniczych w zakresie odpraw emerytalnych i rentowych, nagród jubileuszowych, rent wyrównawczych oraz odpraw pośmiertnych ujęto w skonsolidowanym sprawozdaniu finansowym na podstawie wyceny aktuarialnej wyliczonej przez niezależną firmę doradztwa aktuarialnego.</t>
  </si>
  <si>
    <t>2024 2023 Świadczenia po okresie zatrudnienia Inne świadczenia RAZEM Świadczenia po okresie zatrudnienia Inne świadczenia RAZEM STAN NA 1 STYCZNIA 435,3 817,9 1 253,2 341,2 650,6 991,8 Koszty bieżącego zatrudnienia 56,0 44,6 100,6 19,8 114,0 133,8 Koszty odsetek 22,2 30,3 52,5 22,3 32,4 54,7 Koszty przeszłego zatrudnienia - - - - - - (Zyski)/straty aktuarialne ujęte w wyniku przed opodatkowaniem - (116,0) (116,0) - 96,4 96,4 Straty/(zyski) aktuarialne ujęte w innych całkowitych dochodach: (81,6) - (81,6) 98,1 - 98,1 - wynikające ze zmian założeń finansowych* (89,9) - (89,9) 18,4 - 18,4 - wynikające ze zmian założeń demograficznych* 1,3 - 1,3 5,2 - 5,2 - wynikające z pozostałych zmian założeń oraz korekt założeń aktuarialnych ex post* 7,0 - 7,0 74,5 - 74,5 RAZEM UJĘTE W CAŁKOWITYCH DOCHODACH (3,4) (41,1) (44,5) 140,2 242,8 383,0 Wypłacone świadczenia (33,6) (103,6) (137,2) (46,1) (75,5) (121,6) STAN NA 31 GRUDNIA 398,3 673,2 1 071,5 435,3 817,9 1 253,2</t>
  </si>
  <si>
    <t>KOSZTY ŚWIADCZEŁ PRACOWNICZYCH UJĘTE W WYNIKU PRZED OPODATKOWANIEM Z TYTUŁU:</t>
  </si>
  <si>
    <t>37,4 33,3</t>
  </si>
  <si>
    <t>(40,0) 187,2</t>
  </si>
  <si>
    <t>5,8 5,6</t>
  </si>
  <si>
    <t>3,5 3,5</t>
  </si>
  <si>
    <t>0,6 (0,2)</t>
  </si>
  <si>
    <t>29,8 55,5</t>
  </si>
  <si>
    <t>37,1 284,9</t>
  </si>
  <si>
    <t>KOSZTY ŚWIADCZEŁ PRACOWNICZYCH UJĘTE W INNYCH CAŁKOWITYCH DOCHODACH:</t>
  </si>
  <si>
    <t>(57,7) 53,8</t>
  </si>
  <si>
    <t>(20,3) 35,5</t>
  </si>
  <si>
    <t>(9,3) 1,1</t>
  </si>
  <si>
    <t>5,7 7,7</t>
  </si>
  <si>
    <t>(81,6) 98,1</t>
  </si>
  <si>
    <t>(15,5) 210,3</t>
  </si>
  <si>
    <t>- 1,4</t>
  </si>
  <si>
    <t>0,2 18,5</t>
  </si>
  <si>
    <t>52,4 54,7 RAZEM UJĘTE W WYNIKU PRZED OPODATKOWANIEM</t>
  </si>
  <si>
    <t>Kwota ujęta w innych całkowitych dochodach</t>
  </si>
  <si>
    <t>(44,5) 383,0</t>
  </si>
  <si>
    <t>Stopa dyskonta 5,80% 5,22%</t>
  </si>
  <si>
    <t>Średni zakładany roczny wzrost podstaw kalkulacji rezerwy na odprawy emerytalno-rentowe, nagrody jubileuszowe, renty wyrównawcze oraz odprawy pośmiertne ustalony jako średnia dla najbliższych 50 lat począwszy od 2025 roku 2,20%** -</t>
  </si>
  <si>
    <t>Średni zakładany roczny wzrost podstaw kalkulacji rezerwy na odprawy emerytalno-rentowe, nagrody jubileuszowe oraz renty wyrównawcze ustalony jako średnia dla najbliższych 50 lat począwszy od 2024 roku - 3,86%***</t>
  </si>
  <si>
    <t>Średni ważony współczynnik mobilności pracowniczej 2,25% 2,39%</t>
  </si>
  <si>
    <t>* W Grupie na dzień 31 grudnia 2024 roku zatrudnionych jest 32 315 pracowników, w tym 21 321 pracowników JSW tj. 66,0%, dlatego dominujący wpływ na wielkość zobowiązań z tytułu świadczeń pracowniczych mają założenia aktuarialne przyjęte do wyceny Jednostki dominującej (na dzień 31 grudnia 2023 roku w Grupie było zatrudnionych 32 174 pracowników, w tym 21 446 pracowników JSW tj. 66,7%).</t>
  </si>
  <si>
    <t>** Kalkulacja rezerwy według stanu na 31 grudnia 2024 roku zakłada brak wzrostu wynagrodzeń w latach 2025-2027, natomiast od roku 2028 i w latach kolejnych przyjęto wzrost podstawy kalkulacji rezerwy na odprawy emerytalno-rentowe, nagrody jubileuszowe, renty wyrównawcze oraz odprawy pośmiertne ustalony na poziomie długoterminowego celu inflacyjnego 2,5%.</t>
  </si>
  <si>
    <t>*** Kalkulacja rezerwy według stanu na 31 grudnia 2023 roku uwzględnia wzrost podstawy kalkulacji rezerwy na odprawy emerytalno-rentowe, nagrody jubileuszowe, renty wyrównawcze oraz odprawy pośmiertne ustalony na poziomie przewidywanej inflacji z roku poprzedzającego w wysokości 11,4% dla 2024 roku, 4,6% dla 2025 roku, 3,7% dla 2026 roku oraz 3,5% w kolejnych latach od 2027 roku.</t>
  </si>
  <si>
    <t>Na dzień 31 grudnia 2024 roku i 31 grudnia 2023 roku została przeprowadzona analiza wrażliwości wyników wyceny aktuarialnej na zmianę założeń przyjętych do wyceny w zakresie stopy dyskonta oraz planowanych zmian podstaw wymiaru świadczeń na wysokość zobowiązań z tytułu świadczeń pracowniczych w przedziale -/+0,5 p.p. Ze względu na charakter funkcjonowania branży i pozycji JSW w tej branży, zmiana współczynnika mobilności pracowniczej nie wpływa istotnie na wyniki wyceny aktuarialnej.</t>
  </si>
  <si>
    <t>Analiza wrażliwości na dzień 31 grudnia 2024 roku*:</t>
  </si>
  <si>
    <t>Zobowiązania z tytułu świadczeń Wartość księgowa Stopa dyskonta Planowane zmiany podstaw</t>
  </si>
  <si>
    <t>pracowniczych z tytułu: rezerwy -0,5 p.p. +0,5 p.p. -0,5 p.p. +0,5 p.p. - odpraw emerytalnych i rentowych 274,8 284,0 266,1 265,7 284,4 - nagród jubileuszowych 503,6 516,9 491,0 488,2 519,8 - rent wyrównawczych 82,7 86,5 79,2 78,7 87,0 - odpraw pośmiertnych 17,2 17,7 16,7 16,7 17,7 - odpisów na ZFŚS dla emerytów i rencistów 24,2 26,1 22,6 22,6 26,0 RAZEM 902,5 931,2 875,6 871,9 934,9 ZMIANA W STOSUNKU DO WARTOŚCI KSIĘGOWEJ 28,7 (26,9) (30,6) 32,4</t>
  </si>
  <si>
    <t>* W tabeli nie ujęto zobowiązań z tytułu pozostałych świadczeń dla pracowników.</t>
  </si>
  <si>
    <t>Analiza wrażliwości na dzień 31 grudnia 2023 roku*:</t>
  </si>
  <si>
    <t>pracowniczych z tytułu: rezerwy -0,5 p.p. +0,5 p.p. -0,5 p.p. +0,5 p.p. - odpraw emerytalnych i rentowych 316,2 328,1 305,0 304,3 328,8 - nagród jubileuszowych 625,6 643,6 608,7 605,6 646,7 - rent wyrównawczych 108,7 114,5 103,4 102,9 114,9 - odpraw pośmiertnych 23,8 24,5 23,0 23,1 24,5 - odpisów na ZFŚS dla emerytów i rencistów 18,0 19,3 16,8 16,8 19,3 RAZEM 1 092,3 1 130,0 1 056,9 1 052,7 1 134,2 ZMIANA W STOSUNKU DO WARTOŚCI KSIĘGOWEJ 37,7 (35,4) (39,6) 41,9</t>
  </si>
  <si>
    <t>Poniżej zaprezentowano wyniki wyceny aktuarialnej zobowiązań z tytułu świadczeń pracowniczych na dzień 31 grudnia 2024 roku w podziale na okresy zapadalności*:</t>
  </si>
  <si>
    <t>Zobowiązania z tytułu świadczeń Okres wypłaty</t>
  </si>
  <si>
    <t>pracowniczych z tytułu: 2025 2026 2027 2028 2029 Pozostałe lata - odpraw emerytalnych i rentowych 43,9 15,0 16,3 17,4 19,3 162,9 - nagród jubileuszowych 78,7 62,4 53,0 48,4 44,4 216,7 - rent wyrównawczych 9,2 8,1 7,2 6,6 5,8 45,8 - odpraw pośmiertnych 2,2 2,0 1,9 1,7 1,6 7,8 - odpisów na ZFŚS dla emerytów i rencistów 1,2 1,1 1,1 1,1 1,0 18,7 RAZEM 135,2 88,6 79,5 75,2 72,1 451,9</t>
  </si>
  <si>
    <t>Poniżej zaprezentowano wyniki wyceny aktuarialnej zobowiązań z tytułu świadczeń pracowniczych na dzień 31 grudnia 2023 roku w podziale na okresy zapadalności*:</t>
  </si>
  <si>
    <t>pracowniczych z tytułu: 2024 2025 2026 2027 2028 Pozostałe lata - odpraw emerytalnych i rentowych 38,3 15,9 15,9 18,2 21,2 206,7 - nagród jubileuszowych 82,6 72,9 64,6 54,7 56,9 293,9 - rent wyrównawczych 8,0 7,7 7,4 7,0 6,6 72,0 - odpraw pośmiertnych 2,6 2,5 2,4 2,2 2,1 12,0 - odpisów na ZFŚS dla emerytów i rencistów 0,9 0,9 0,9 0,8 0,8 13,7 RAZEM 132,4 99,9 91,2 82,9 87,6 598,3</t>
  </si>
  <si>
    <t>Likwidacja zakładu górniczego Szkody górnicze Ochrona środowiska Pozostałe rezerwy Razem STAN NA 1 STYCZNIA 2024 długoterminowe 1 084,1 272,6 105,9 22,2 1 484,8 krótkoterminowe 24,2 118,4 56,0 93,6 292,2 RAZEM 1 108,3 391,0 161,9 115,8 1 777,0 Utworzenie dodatkowych rezerw - 147,2 2,6 48,3 198,1 Utworzenie rezerwy - koszty odsetkowe 56,3 - 4,6 - 60,9 Rozwiązanie niewykorzystanej rezerwy - (18,8) (21,7) (17,5) (58,0) Aktualizacja wartości rezerwy (141,8) - (12,1) - (153,9) Wykorzystanie rezerw (11,7) (116,0) (9,6) (9,7) (147,0) STAN NA 31 GRUDNIA 2024 długoterminowe 979,1 287,5 97,0 28,9 1 392,5 krótkoterminowe 32,0 115,9 28,7 108,0 284,6 RAZEM 1 011,1 403,4 125,7 136,9 1 677,1</t>
  </si>
  <si>
    <t>Likwidacja zakładu górniczego Szkody górnicze Ochrona środowiska Pozostałe rezerwy Razem</t>
  </si>
  <si>
    <t>101,2</t>
  </si>
  <si>
    <t>17,1</t>
  </si>
  <si>
    <t>1 282,3</t>
  </si>
  <si>
    <t>70,8</t>
  </si>
  <si>
    <t>226,8</t>
  </si>
  <si>
    <t>141,9</t>
  </si>
  <si>
    <t>1 509,1</t>
  </si>
  <si>
    <t>185,6</t>
  </si>
  <si>
    <t>38,7</t>
  </si>
  <si>
    <t>Utworzenie rezerwy - koszty odsetkowe</t>
  </si>
  <si>
    <t>60,9</t>
  </si>
  <si>
    <t>65,4</t>
  </si>
  <si>
    <t>(13,2)</t>
  </si>
  <si>
    <t>(22,0)</t>
  </si>
  <si>
    <t>Aktualizacja wartości rezerwy</t>
  </si>
  <si>
    <t>110,7</t>
  </si>
  <si>
    <t>(17,8)</t>
  </si>
  <si>
    <t>92,9</t>
  </si>
  <si>
    <t>(5,1)</t>
  </si>
  <si>
    <t>(118,9)</t>
  </si>
  <si>
    <t>(10,4)</t>
  </si>
  <si>
    <t>(139,4)</t>
  </si>
  <si>
    <t>1 084,1</t>
  </si>
  <si>
    <t>105,9</t>
  </si>
  <si>
    <t>24,2</t>
  </si>
  <si>
    <t>118,4</t>
  </si>
  <si>
    <t>56,0</t>
  </si>
  <si>
    <t>1 108,3</t>
  </si>
  <si>
    <t>391,0</t>
  </si>
  <si>
    <t>161,9</t>
  </si>
  <si>
    <t>115,8</t>
  </si>
  <si>
    <t>1 777,0</t>
  </si>
  <si>
    <t>Wg stanu obowiązującego na:</t>
  </si>
  <si>
    <t>- Ruch Bzie* do 31.12.2084 do 31.12.2084</t>
  </si>
  <si>
    <t>* Zgodnie z decyzją Zarządu JSW, po dniu kończącym okres sprawozdawczy, tj. z dniem 1 lipca 2025 roku nastąpi włączenie Ruchu â€žBzieâ€ť w struktury Ruchu â€žZofiówkaâ€ť tworząc kopalnię dwuruchową pod nazwą KWK Borynia-Zofiówka.</t>
  </si>
  <si>
    <t>Stopa inflacji w 2025 roku 4,30%</t>
  </si>
  <si>
    <t>Stopa inflacji w 2026 roku 2,80%</t>
  </si>
  <si>
    <t>Stopa inflacji w 2027 roku 2,50%</t>
  </si>
  <si>
    <t>Stopa dyskonta od 2025 roku do 2034 roku 5,80%</t>
  </si>
  <si>
    <t>Stopa dyskonta od 2035 roku 2,50%</t>
  </si>
  <si>
    <t>Zastosowanie założeń (stopa inflacji, stopa dyskonta i zaktualizowane koszty likwidacji poszczególnych kopalń) odnośnie kalkulacji rezerwy na likwidację zakładu górniczego na dzień 31 grudnia 2024 roku spowodowało zmniejszenie wartości rezerwy w łącznej wysokości 141,8 mln PLN.</t>
  </si>
  <si>
    <t>Natomiast na dzień 31 grudnia 2023 roku zastosowanie założeń odnośnie kalkulacji rezerwy na likwidację zakładu górniczego (stopa inflacji, stopa dyskonta i zaktualizowane koszty likwidacji poszczególnych kopalń) spowodowało zwiększenie wartości rezerwy w wysokości 110,7 mln PLN.</t>
  </si>
  <si>
    <t>Gdyby wykorzystywana w kalkulacji rezerwy na likwidację zakładu górniczego na dzień 31 grudnia 2024 roku stopa dyskonta od roku 2035 była niższa od oszacowań Zarządu JSW o 1,0 p.p., to wartość księgowa rezerwy na koszty likwidacji zakładu górniczego byłaby wyższa o 409,2 mln PLN, zaś gdyby stopa dyskonta od roku 2035 była wyższa od oszacowań Zarządu JSW o 1,0 p.p., to wartość księgowa rezerwy na koszty likwidacji zakładu górniczego byłaby niższa o 275,2 mln PLN.</t>
  </si>
  <si>
    <t>Gdyby wykorzystywana w kalkulacji rezerwy na likwidację zakładu górniczego na dzień 31 grudnia 2024 roku stopa inflacji od roku 2029 była niższa od oszacowań Zarządu JSW o 1,0 p.p., to wartość księgowa rezerwy na koszty likwidacji zakładu górniczego byłaby niższa o 317,5 mln PLN, zaś gdyby stopa inflacji od roku 2029 była wyższa od oszacowań Zarządu JSW o 1,0 p.p., to wartość księgowa rezerwy na koszty likwidacji zakładu górniczego byłaby wyższa o 487,4 mln PLN.</t>
  </si>
  <si>
    <t>Z uwagi na ustawowy obowiązek usunięcia szkód wyrządzonych ruchem zakładów górniczych należących do JSW, Grupa tworzy rezerwę na szkody górnicze. Wielkość utworzonej rezerwy dla zadań związanych z usuwaniem szkód górniczych według stanu na dzień 31 grudnia 2024 roku wynosi 403,4 mln PLN (na dzień 31 grudnia 2023 roku: 391,0 mln PLN) i wynika z uwzględnienia skumulowanej stopy inflacji na poziomie 5% w 2024 roku (w 2023 roku: 7%) w wyliczeniu wiarygodnego szacunku kosztów napraw obiektów budowlanych, budowli i odszkodowań będących następstwem wpływów dokonanej eksploatacji górniczej.</t>
  </si>
  <si>
    <t>Grupa przewiduje wykorzystanie w 2025 roku rezerwy w wysokości 115,9 mln PLN. Pozostała kwota rezerwy zostanie wykorzystana w latach 2026 â€“ 2028. Kopalnie JSW dokonują klasyfikacji zadań, na podstawie wiedzy o terminach napraw poszczególnych szkód (indywidualna ocena zadań) lub uzgodnionych terminów wypłat odszkodowań. Systemowa reklasyfikacja zadań ujętych w rezerwie długoterminowej do części krótkoterminowej dokonywana jest w oparciu o przyjęty w danym roku plan techniczno-ekonomiczny. Przesunięcia poszczególnych rezerw z długoterminowych na krótkoterminowe odbywa się w okresach kwartalnych, lub częściej tj. w przypadku wystąpienia zdarzeń lub okoliczności powodujących konieczność dokonania aktualizacji wartości rezerwy.</t>
  </si>
  <si>
    <t>Na podstawie uzyskanych decyzji administracyjnych, aktualnych planów zagospodarowania przestrzennego oraz obowiązującej Ustawy o ochronie gruntów rolnych i leśnych na Grupie ciąży prawny obowiązek rekultywacji składowisk po zaprzestaniu działalności przemysłowej. Grupa dokonała aktualizacji wartości rezerwy poprzez zdyskontowanie przyszłych kosztów rekultywacji do wartości bieżącej, przy uwzględnieniu stopy inflacji odpowiednio na poziomie 4,30% - rok 2025, 2,80% - rok 2026, 2,50% w kolejnych latach prognozy od 2027 roku, oraz stopy dyskonta równą w pierwszych 10 latach prognozy rentowności 10-letnich obligacji skarbowych, a w kolejnych latach przyjęto stopę dyskonta w warunkach gospodarki stabilnej na poziomie 2,50%. Na dzień 31 grudnia 2024 roku Jednostka dominująca posiada rezerwę na ochronę środowiska związaną z rekultywacją biologiczną terenów na łączną kwotę 101,1 mln PLN (31 grudnia 2023 roku: 115,1 mln PLN).</t>
  </si>
  <si>
    <t>Jednocześnie na dzień 31 grudnia 2024 roku Jednostka dominująca posiada rezerwę na opłaty podwyższone z tytułu odprowadzenia wód dołowych z rejonu szybów w wysokości 11,1 mln PLN (31 grudnia 2023 roku: 11,1 mln PLN).</t>
  </si>
  <si>
    <t>Zgodnie z aktami prawnymi, regulującymi sprawy zanieczyszczenia gleby, ziemi i wód podziemnych władający powierzchnią ziemi, na której występuje zanieczyszczenie powierzchni ziemi, jest obowiązany do przeprowadzenia remediacji. W związku z powyższym Koksownie Grupy ujmują rezerwę na koszty remediacji terenów zanieczyszczonych po byłej Koksowni Dębieńsko i Koksowni Makoszowy. W maju 2024 roku został sprzedany teren po byłej Koksowni Makoszowy, w związku z tym wygasł obowiązek remediacji tego terenu, co spowodowało rozwiązanie części rezerwy w wysokości 12,6 mln PLN. Ponadto ograniczono wartość rezerwy wyłącznie do prognozowanych kosztów remediacji byłej Koksowni Dębieńsko, co spowodowało, że wartość rezerwy na koszty remediacji na dzień 31 grudnia 2024 roku wyniosła 5,8 mln PLN (na dzień 31 grudnia 2023 roku: 27,4 mln PLN).</t>
  </si>
  <si>
    <t>â–Ş rezerwę na postępowania sądowe od osób fizycznych w Jednostce dominującej w wysokości 22,2 mln PLN (na dzień 31 grudnia 2023 roku: 20,2 mln PLN),</t>
  </si>
  <si>
    <t>â–Ş rezerwę na koszty likwidacji Koksowni Dębieńsko w wysokości 8,5 mln PLN (na dzień 31 grudnia 2023 roku: 14,8 mln PLN),</t>
  </si>
  <si>
    <t>â–Ş rezerwę na postępowanie sądowe wszczęte z powództwa Elektrometal przeciwko JSW o zapłatę należności w wysokości 8,5 mln PLN (na dzień 31 grudnia 2023 roku: 7,8 mln PLN),</t>
  </si>
  <si>
    <t>â–Ş rezerwę na postępowanie sądowe wszczęte przeciwko JSW z powództwa firmy Grenevia S.A. (Famur S.A.) o wypłatę odszkodowania w wysokości 7,2 mln PLN (na dzień 31 grudnia 2023 roku: 6,9 mln PLN),</t>
  </si>
  <si>
    <t>â–Ş rezerwę utworzoną w 2024 roku na postępowanie sądowe wszczęte przeciwko JSW z powództwa Bytomski Zakład Usług Górniczych Sp. z o. o. o zapłatę należności w wysokości 9,5 mln PLN,</t>
  </si>
  <si>
    <t>â–Ş rezerwę na pozostałe postępowania sądowe przeciwko spółkom Grupy na łączną kwotę 39,7 mln PLN (na dzień 31 grudnia 2023 roku: 36,2 mln PLN),</t>
  </si>
  <si>
    <t>â–Ş rezerwę utworzoną w 2024 roku na należność główną wraz z odsetkami z tytułu składek ZUS jednej ze spółek zależnych w wysokości 12,9 mln PLN,</t>
  </si>
  <si>
    <t>â–Ş rezerwę na przyszłe zobowiązania dotyczące odmów zapłat w wysokości 1,9 mln PLN (na dzień 31 grudnia 2023 roku: 6,5 mln PLN).</t>
  </si>
  <si>
    <t>Odsetki hipotetyczne od zobowiązań naliczone za 2024 rok wyniosły 24,5 mln PLN (w 2023 roku: 48,4 mln PLN).</t>
  </si>
  <si>
    <t>Zobowiązania handlowe 1 477,1 1 533,5</t>
  </si>
  <si>
    <t>Rozliczenia międzyokresowe bierne 74,7 94,2</t>
  </si>
  <si>
    <t>Pozostałe zobowiązania o charakterze finansowym, w tym: 485,7 620,9</t>
  </si>
  <si>
    <t>â€’ zobowiązania inwestycyjne 417,4 532,5</t>
  </si>
  <si>
    <t>â€’ zobowiązania inne 68,3 88,4</t>
  </si>
  <si>
    <t>RAZEM 2 037,5 2 248,6</t>
  </si>
  <si>
    <t>Przychody przyszłych okresów 106,1 114,1</t>
  </si>
  <si>
    <t>Pozostałe zobowiązania o charakterze niefinansowym, w tym: 1 644,5 1 357,8</t>
  </si>
  <si>
    <t>â€’ zobowiązania z tytułu ubezpieczeń społecznych i innych podatków* 941,0 761,6</t>
  </si>
  <si>
    <t>â€’ zaliczki z tytułu dostaw 25,5 36,0</t>
  </si>
  <si>
    <t>â€’ wynagrodzenia* 609,0 493,7</t>
  </si>
  <si>
    <t>â€’ pozostałe 69,0 66,5</t>
  </si>
  <si>
    <t>RAZEM 1 750,6 1 471,9</t>
  </si>
  <si>
    <t>RAZEM ZOBOWIĄZANIA HANDLOWE I POZOSTAŁE ZOBOWIĄZANIA 3 788,1 3 720,5</t>
  </si>
  <si>
    <t>długoterminowe 134,2 146,3</t>
  </si>
  <si>
    <t>krótkoterminowe 3 653,9 3 574,2</t>
  </si>
  <si>
    <t>* Jednostka dominująca ujęła na dzień 31 grudnia 2024 roku szacowane zobowiązanie z tytułu świadczenia jednorazowego łącznie ze składkami pracodawcy w wysokości 152,5 mln PLN (z czego w pozycji â€žwynagrodzeniaâ€ť 120,7 mln PLN, zaś w pozycji â€žzobowiązania z tytułu ubezpieczeń społecznych i innych podatkówâ€ť 31,8 mln PLN), które będzie wypłacone pracownikom JSW będącym w stanie zatrudnienia na dzień 31 maja 2024 roku i spełniającym warunki jego uzyskania, w kwietniu 2025 roku na podstawie zawartego w dniu 20 stycznia 2025 roku Porozumienia pomiędzy Zarządem JSW a Reprezentatywnymi Organizacjami Związkowymi działającymi w JSW dotyczącego wypłaty nagrody jednorazowej zamykającej realizację zapisów Porozumienia z 20 czerwca 2024 roku.</t>
  </si>
  <si>
    <t>Grupa posiada dotacje, w ramach których zobowiązana jest do wykorzystania otrzymanych środków wyłącznie na realizację zadań wskazanych w umowach tych dotacji oraz do spełnienia określonych w umowach warunków. W ciągu 2024 i 2023 roku warunki te były spełnione. Kwota dotacji ujęta w wyniku finansowym została wykazana w Nocie 4.3.</t>
  </si>
  <si>
    <t>(8 356,6) 2 874,7</t>
  </si>
  <si>
    <t>4.2 1 697,9</t>
  </si>
  <si>
    <t>Strata z tytułu zbycia/likwidacji rzeczowych aktywów trwałych</t>
  </si>
  <si>
    <t>4.5 0,1 10,6</t>
  </si>
  <si>
    <t>(337,5)</t>
  </si>
  <si>
    <t>(876,7)</t>
  </si>
  <si>
    <t>(100,1)</t>
  </si>
  <si>
    <t>163,3</t>
  </si>
  <si>
    <t>28,1</t>
  </si>
  <si>
    <t>107,0</t>
  </si>
  <si>
    <t>7.7 (24,7)</t>
  </si>
  <si>
    <t>(181,8)</t>
  </si>
  <si>
    <t>412,8</t>
  </si>
  <si>
    <t>182,6</t>
  </si>
  <si>
    <t>467,9</t>
  </si>
  <si>
    <t>25,0</t>
  </si>
  <si>
    <t>Odpisy aktualizujące rzeczowe aktywa trwałe, wartości niematerialne oraz prawo do użytkowania składnika aktywów</t>
  </si>
  <si>
    <t>7.4 6 449,3</t>
  </si>
  <si>
    <t>226,0</t>
  </si>
  <si>
    <t>Umorzenie praw do emisji CO2</t>
  </si>
  <si>
    <t>79,1</t>
  </si>
  <si>
    <t>12,5</t>
  </si>
  <si>
    <t>WPŁYWY PIENIĘŻNE Z DZIAŁALNOŚCI OPERACYJNEJ 75,6</t>
  </si>
  <si>
    <t>7.11 (181,7)</t>
  </si>
  <si>
    <t>261,4</t>
  </si>
  <si>
    <t>7.11 81,6</t>
  </si>
  <si>
    <t>ZMIANA STANU ZOBOWIĄZAŁ Z TYTUŁU ŚWIADCZEŁ PRACOWNICZYCH W SKONSOLIDOWANYM SPRAWOZDANIU Z PRZEPŁYWÓW PIENIĘŻNYCH (100,1)</t>
  </si>
  <si>
    <t>7.12 (99,9)</t>
  </si>
  <si>
    <t>7.1 128,0</t>
  </si>
  <si>
    <t>(160,9)</t>
  </si>
  <si>
    <t>ZMIANA STANU REZERW W SKONSOLIDOWANYM SPRAWOZDANIU Z PRZEPŁYWÓW PIENIĘŻNYCH 28,1</t>
  </si>
  <si>
    <t>7.8 412,6</t>
  </si>
  <si>
    <t>149,1</t>
  </si>
  <si>
    <t>ZMIANA STANU NALEŻNOŚCI HANDLOWYCH ORAZ POZOSTAŁYCH NALEŻNOŚCI W SKONSOLIDOWANYM SPRAWOZDANIU Z PRZEPŁYWÓW PIENIĘŻNYCH 412,8</t>
  </si>
  <si>
    <t>29,6</t>
  </si>
  <si>
    <t>Straty z wyceny instrumentów zabezpieczających w innych całkowitych dochodach - przeniesienie do wyniku finansowego w związku z realizacją pozycji zabezpieczanej</t>
  </si>
  <si>
    <t>ZMIANA STANU POCHODNYCH INSTRUMENTÓW FINANSOWYCH W SKONSOLIDOWANYM SPRAWOZDANIU Z PRZEPŁYWÓW PIENIĘŻNYCH 25,0</t>
  </si>
  <si>
    <t>Zamortyzowany</t>
  </si>
  <si>
    <t>Wartość godziwa</t>
  </si>
  <si>
    <t>Instrumenty</t>
  </si>
  <si>
    <t>koszt</t>
  </si>
  <si>
    <t>rozliczana przez wynik finansowy</t>
  </si>
  <si>
    <t>zabezpieczające</t>
  </si>
  <si>
    <t>NA DZIEŁ 31 GRUDNIA 2024 Należności FIZ 7.5 0,4 - - 0,4 wartość brutto 0,4 - - 0,4 Listy zastawne 7.5 - 55,9 - 55,9 Dłużne papiery wartościowe 7.5 - 7 853,9 - 7 853,9 Instrumenty pochodne FIZ 7.5 - 43,8 - 43,8 Środki pieniężne i ich ekwiwalenty FIZ 7.5 2,7 - - 2,7 wartość brutto 2,7 - - 2,7 Udziały w innych jednostkach - 0,1 - 0,1 Należności handlowe 7.8 1 070,3 - - 1 070,3 wartość brutto 1 127,1 - - 1 127,1 odpisy aktualizujące (56,8) - - (56,8)</t>
  </si>
  <si>
    <t>Pochodne instrumenty finansowe 9.4 - 2,0 10,0 12,0 Długoterminowe należności finansowe 7.6 3,6 - - 3,6 wartość brutto 3,6 - - 3,6 Lokaty bankowe 7.6 25,8 - - 25,8 wartość brutto 25,8 - - 25,8 Środki pieniężne i ich ekwiwalenty * 7.6,7.9 1 327,7 - - 1 327,7 wartość brutto 1 328,1 - - 1 328,1 odpisy aktualizujące (0,4) - - (0,4) RAZEM 2 430,5 7 955,7 10,0 10 396,2</t>
  </si>
  <si>
    <t>NA DZIEŁ 31 GRUDNIA 2023</t>
  </si>
  <si>
    <t>203,9</t>
  </si>
  <si>
    <t>7 213,3</t>
  </si>
  <si>
    <t>1 400,7</t>
  </si>
  <si>
    <t>1 470,3</t>
  </si>
  <si>
    <t>7.6,7.9</t>
  </si>
  <si>
    <t>3 120,1</t>
  </si>
  <si>
    <t>3 120,9</t>
  </si>
  <si>
    <t>4 525,7</t>
  </si>
  <si>
    <t>7 486,0</t>
  </si>
  <si>
    <t>12 027,7</t>
  </si>
  <si>
    <t>Poza zakresem</t>
  </si>
  <si>
    <t>MSSF 9</t>
  </si>
  <si>
    <t>NA DZIEŁ 31 GRUDNIA 2024 Kredyty i pożyczki 6.1 1 482,6 - 403,3 - 1 885,9 Pochodne instrumenty finansowe 9.4 - 10,2 8,9 - 19,1 Instrumenty pochodne FIZ 7.5 - 5,3 - - 5,3 Zobowiązania z tytułu transakcji przy zobowiązaniu się Funduszu do odkupu (transakcje Sell Buy Back) 7.5 4 004,7 - - - 4 004,7 Pozostałe zobowiązania FIZ 7.5 40,5 - - - 40,5 Zobowiązania z tytułu leasingu 6.2 - - - 614,0 614,0 Zobowiązania handlowe oraz pozostałe zobowiązania o charakterze finansowym 7.13 2 037,5 - - - 2 037,5 RAZEM 7 565,3 15,5 412,2 614,0 8 607,0</t>
  </si>
  <si>
    <t>1 261,7</t>
  </si>
  <si>
    <t>1 796,6</t>
  </si>
  <si>
    <t>103,7</t>
  </si>
  <si>
    <t>2 248,6</t>
  </si>
  <si>
    <t>5 410,6</t>
  </si>
  <si>
    <t>161,1</t>
  </si>
  <si>
    <t>6 222,3</t>
  </si>
  <si>
    <t>Na dzień 31 grudnia 2024 roku oraz na dzień 31 grudnia 2023 roku wartość godziwa aktywów i zobowiązań finansowych wycenianych według zamortyzowanego kosztu (za wyjątkiem kredytów i pożyczek) nie odbiega istotnie od ich wartości księgowej. Wartość godziwa kredytów i pożyczek została ujawniona w Nocie 9.2.</t>
  </si>
  <si>
    <t>Grupa wycenia do wartości godziwej aktywa i zobowiązania zaklasyfikowane do instrumentów finansowych wycenianych w wartości godziwej oraz ujawnia istotną wartość godziwą aktywów i zobowiązań finansowych wycenianych według zamortyzowanego kosztu.</t>
  </si>
  <si>
    <t>Na dzień 31 grudnia 2024 roku oraz na dzień 31 grudnia 2023 roku Grupa posiadała aktywa i zobowiązania finansowe, które są wyceniane w wartości godziwej. Pozycje te obejmują pochodne instrumenty finansowe, których data zapadalności przypada po dniu kończącym okres sprawozdawczy, inwestycje w portfel aktywów FIZ (dłużne papiery wartościowe, listy zastawne) oraz udziały i akcje w pozostałych jednostkach. Pod względem założeń przyjętych do wyceny kwalifikują się one do Poziomu 1 i 2 w powyższej hierarchii.</t>
  </si>
  <si>
    <t>â€’ dłużne papiery wartościowe 4 908,5 4 908,5 2 945,4 2 945,4</t>
  </si>
  <si>
    <t>5 254,2</t>
  </si>
  <si>
    <t>1 959,1</t>
  </si>
  <si>
    <t>â€’ listy zastawne - - 55,9 55,9</t>
  </si>
  <si>
    <t>â€’ instrumenty pochodne - - 43,8 43,8</t>
  </si>
  <si>
    <t>Pochodne instrumenty finansowe, w tym: - - 12,0 12,0</t>
  </si>
  <si>
    <t>â€’ aktywa finansowe â€“ pochodne instrumenty zabezpieczające walutowe - - 10,0 10,0</t>
  </si>
  <si>
    <t>â€’ instrumenty pochodne - swap procentowy (IRS) - - 5,3 5,3</t>
  </si>
  <si>
    <t>Pochodne instrumenty finansowe, w tym: - - 19,1 19,1</t>
  </si>
  <si>
    <t>â€’ zobowiązania finansowe â€“ pochodne instrumenty zabezpieczające walutowe - - 8,9 8,9</t>
  </si>
  <si>
    <t>Kredyty i pożyczki - - 1 885,9 1 916,9</t>
  </si>
  <si>
    <t>1 456,0</t>
  </si>
  <si>
    <t>W 2024 roku dokonano następujących przeniesień aktywów pomiędzy poziomami hierarchii wartości godziwej:</t>
  </si>
  <si>
    <t>â–Ş z Poziomu 1 do Poziomu 2 przeniesiono dłużne papiery wartościowe (listy zastawne, dłużne papiery wartościowe) o wartości 77,0 mln PLN, dla których zaprzestano wyceny na podstawie cen z rynku ze względu na spadek jego aktywności i dokonano wyceny przy wykorzystaniu wiarygodnej ceny rynkowej z rynku nieaktywnego dla danego aktywa lub porównywalnych aktywów,</t>
  </si>
  <si>
    <t>â–Ş z Poziomu 2 do Poziomu 1 przeniesiono dłużne papiery wartościowe (listy zastawne, dłużne papiery wartościowe) o wartości 79,8 mln PLN, które wyceniono na podstawie cen z aktywnego rynku.</t>
  </si>
  <si>
    <t>Aktywa/zobowiązania</t>
  </si>
  <si>
    <t>finansowe wyceniane</t>
  </si>
  <si>
    <t>w wartości godziwej</t>
  </si>
  <si>
    <t>wg zamortyzowanego</t>
  </si>
  <si>
    <t>przez wynik</t>
  </si>
  <si>
    <t>kosztu</t>
  </si>
  <si>
    <t>finansowy</t>
  </si>
  <si>
    <t>ZA OKRES ZAKOŁCZONY 31 GRUDNIA 2024 Przychody/(koszty) z tytułu odsetek ujęte w: 295,8 (10,4) - (37,4) 248,0 pozostałych przychodach - 25,8 - - 25,8 pozostałych kosztach - (25,6) - - (25,6) przychodach finansowych 4.6 - 65,1 - - 65,1 kosztach finansowych - (75,7) - (37,4) (113,1) pozostałych zyskach - netto 4.5 295,8 - - - 295,8 Zyski/(straty) z tytułu różnic kursowych ujęte w: - (3,8) (3,1) - (6,9) przychodach ze sprzedaży - - (3,4) - (3,4) pozostałych (stratach) - netto 4.5 - (8,4) - - (8,4) przychodach finansowych 4.6 - 4,6 - - 4,6 kosztach finansowych 4.6 - - - - - innych całkowitych dochodach - - 0,3 - 0,3 Przychody/(koszty) z tytułu wyceny i realizacji instrumentów pochodnych ujęte w: 12,0 - 14,2 - 26,2 przychodach ze sprzedaży - - 22,4 - 22,4 pozostałych zyskach - netto 4.5 12,0 - (0,1) - 11,9 innych całkowitych dochodach - - (8,1) - (8,1) Odwrócenie/(utworzenie) odpisów aktualizujących należności handlowe ujęte w: - (8,2) - - (8,2) pozostałych przychodach - 2,2 - - 2,2 pozostałych kosztach - (10,4) - - (10,4) (Straty) z wyceny zobowiązań długoterminowych (dyskonto) ujęte w: - (2,1) - - (2,1) kosztach finansowych - (2,1) - - (2,1) Zyski z tytułu wyceny do wartości godziwej i realizacji portfela aktywów FIZ ujęte w: 61,1 - - - 61,1 pozostałych zyskach - netto 4.5 61,1 - - - 61,1 RAZEM 368,9 (24,5) 11,1 (37,4) 318,1</t>
  </si>
  <si>
    <t>ZA OKRES ZAKOŁCZONY 31 GRUDNIA 2023 Przychody/(koszty) z tytułu odsetek ujęte w: 377,5 206,1 - (34,3) 549,3 pozostałych przychodach - 41,7 - - 41,7 pozostałych kosztach - (51,0) - - (51,0) przychodach finansowych 4.6 - 271,8 - - 271,8 kosztach finansowych - (56,4) - (34,3) (90,7) pozostałych zyskach - netto 4.5 377,5 - - - 377,5 Zyski/(straty) z tytułu różnic kursowych ujęte w: 0,6 (64,5) 20,4 - (43,5) przychodach ze sprzedaży - - (5,0) - (5,0) pozostałych (stratach) - netto 4.5 0,6 (53,2) - - (52,6) przychodach finansowych 4.6 - 0,7 - - 0,7 kosztach finansowych 4.6 - (12,0) (0,5) - (12,5) innych całkowitych dochodach - - 25,9 - 25,9 Przychody/(koszty) z tytułu wyceny i realizacji instrumentów pochodnych ujęte w: 76,0 - 28,9 - 104,9 przychodach ze sprzedaży - - 45,0 - 45,0 pozostałych zyskach - netto 4.5 76,0 - (2,3) - 73,7 innych całkowitych dochodach - - (13,8) - (13,8) Odwrócenie/(utworzenie) odpisów aktualizujących należności handlowe ujęte w: - (12,4) - - (12,4) kosztach administracyjnych - (2,7) - - (2,7) pozostałych przychodach - 9,7 - - 9,7 pozostałych kosztach - (19,4) - - (19,4) Zyski/(straty) z wyceny zobowiązań długoterminowych (dyskonto) ujęte w: - (1,7) - (0,2) (1,9) kosztach finansowych - (1,7) - (0,2) (1,9) Zyski z tytułu wyceny do wartości godziwej i realizacji portfela aktywów FIZ ujęte w: 294,3 - - - 294,3 pozostałych zyskach - netto 4.5 294,3 - - - 294,3 RAZEM 748,4 127,5 49,3 (34,5) 890,7</t>
  </si>
  <si>
    <t>â€“ EUR 4,5 2,0 6,5</t>
  </si>
  <si>
    <t>13,0</t>
  </si>
  <si>
    <t>Swapy towarowe USD 5,5 - 5,5</t>
  </si>
  <si>
    <t>RAZEM, W TYM 10,0 2,0 12,0</t>
  </si>
  <si>
    <t>- część krótkoterminowa 10,0 2,0 12,0 16,0 11,7 27,7</t>
  </si>
  <si>
    <t>â€“ EUR - 0,2 0,2</t>
  </si>
  <si>
    <t>â€“ USD 8,9 10,0 18,9</t>
  </si>
  <si>
    <t>Swapy towarowe USD - - -</t>
  </si>
  <si>
    <t>RAZEM, W TYM 8,9 10,2 19,1</t>
  </si>
  <si>
    <t>- część krótkoterminowa 8,9 10,2 19,1</t>
  </si>
  <si>
    <t>Waluta 31.12.2024</t>
  </si>
  <si>
    <t>31.12.2023 Instrumenty pochodne zabezpieczające Instrumenty pochodne wyceniane w wartości godziwej przez wynik finansowy</t>
  </si>
  <si>
    <t>EUR 58,5 55,0</t>
  </si>
  <si>
    <t>58,5 55,0</t>
  </si>
  <si>
    <t>USD 66,5 80,2</t>
  </si>
  <si>
    <t>30,0</t>
  </si>
  <si>
    <t>66,5 80,2</t>
  </si>
  <si>
    <t>17,0 - 71,0 -</t>
  </si>
  <si>
    <t>w sprawozda-niu z wyniku finansowego i innych całkowitych dochodów, która zawiera korektę z tytułu przeklasyfiko-wania ZABEZPIECZENIA PRZEPŁYWÓW PIENIĘŻNYCH W 2024 ROKU RYZYKO WALUTOWE Kontrakt forward na sprzedaż waluty (EUR/PLN) 58,5 4,5 - Pochodne instrumenty finansowe 6,9 6,5 0,4 Pozostałe zyski/(straty)- netto 4,8 Przychody ze sprzedaży Kontrakt forward na sprzedaż waluty (USD/PLN) 66,5 - 8,9 Pochodne instrumenty finansowe (8,9) (8,8) (0,1) Pozostałe zyski/(straty)- netto 12,3 Przychody ze sprzedaży Kredyty denominowane w EUR 62,0 2,9 - Kredyty i pożyczki 2,9 2,9 - Pozostałe zyski/(straty) -netto (3,4) Przychody ze sprzedaży Kredyty denominowane w USD 44,3 2,3 - Kredyty i pożyczki (6,0) (6,0) - Pozostałe zyski/(straty) -netto - Przychody ze sprzedaży RYZYKO CENOWE Kontrakt swap towarowy 17,0 tys. ton 5,5 - Pochodne instrumenty finansowe 16,8 16,6 0,2 Pozostałe zyski/(straty) -netto 5,3 Przychody ze sprzedaży RAZEM 15,2 8,9 11,7 11,2 0,5 19,0</t>
  </si>
  <si>
    <t>ZABEZPIECZENIA PRZEPŁYWÓW PIENIĘŻNYCH W 2023 ROKU</t>
  </si>
  <si>
    <t>Pozostałe zyski/(straty)- netto</t>
  </si>
  <si>
    <t>22,1</t>
  </si>
  <si>
    <t>22,3</t>
  </si>
  <si>
    <t>44,3</t>
  </si>
  <si>
    <t>20,9</t>
  </si>
  <si>
    <t>Pozostałe zyski/(straty) -netto</t>
  </si>
  <si>
    <t>Kontrakt swap towarowy</t>
  </si>
  <si>
    <t>71,0 tys. ton</t>
  </si>
  <si>
    <t>24,3</t>
  </si>
  <si>
    <t>52,1</t>
  </si>
  <si>
    <t>Planowana sprzedaż węgla i koksu (EUR/PLN) (9,9) 7,3 -</t>
  </si>
  <si>
    <t>- Planowana sprzedaż węgla i koksu (USD/PLN)* 14,7 (7,4) (5,6)</t>
  </si>
  <si>
    <t>(43,3)</t>
  </si>
  <si>
    <t>(10,7) RYZYKO CENOWE</t>
  </si>
  <si>
    <t>Planowana sprzedaż węgla koksowego (16,8) 4,9 2,3</t>
  </si>
  <si>
    <t>(2,9) RAZEM (12,0) 4,8 (3,3)</t>
  </si>
  <si>
    <t>(52,3)</t>
  </si>
  <si>
    <t>2024 2023</t>
  </si>
  <si>
    <t>STAN NA 1 STYCZNIA 7,5</t>
  </si>
  <si>
    <t>Zmiana wyceny instrumentów zabezpieczających, w tym: 11,2</t>
  </si>
  <si>
    <t>â’ dodatnia wycena wynikająca ze zmiany wartości godziwej instrumentów zabezpieczających w części skutecznej, 25,5</t>
  </si>
  <si>
    <t>37,0</t>
  </si>
  <si>
    <t>â’ ujemna wycena wynikająca ze zmiany wartości godziwej instrumentów zabezpieczających w części skutecznej (11,2)</t>
  </si>
  <si>
    <t>â’ dodatnia/(ujemna) wycena wynikająca ze zmiany wartości godziwej instrumentów zabezpieczających w części skutecznej (kredyt) (3,1)</t>
  </si>
  <si>
    <t>Zmiana wyceny instrumentów zabezpieczających odniesiona do wyniku finansowego okresu wynikająca z realizacji pozycji zabezpieczanej (kredytów, Fx Forward oraz swap towarowy) (19,0)</t>
  </si>
  <si>
    <t>(40,0)</t>
  </si>
  <si>
    <t>Podatek odroczony 1,5</t>
  </si>
  <si>
    <t>STAN NA 31 GRUDNIA 1,2</t>
  </si>
  <si>
    <t>Poza omówionymi w niniejszym skonsolidowanym sprawozdaniu finansowym ryzykami o charakterze finansowym, Grupa w toku prowadzonej działalności jest narażona na ryzyka o charakterze niefinansowym. Czynniki ryzyka o charakterze niefinansowym zostały szczegółowo opisane w Punkcie 5.1. Sprawozdania Zarządu z działalności Jastrzębskiej Spółki Węglowej S.A. oraz Grupy Kapitałowej Jastrzębskiej Spółki Węglowej S.A. za rok obrotowy zakończony 31 grudnia 2024 roku.</t>
  </si>
  <si>
    <t>Inwestycje w portfel aktywów FIZ narażone na ryzyko cenowe w wyniku zmiany ratingu emitenta papierów wartościowych (głównie Skarbu Państwa i Banku Gospodarstwa Krajowego),</t>
  </si>
  <si>
    <t>â€’ pozyskiwanie finansowania zewnętrznego,</t>
  </si>
  <si>
    <t>â€’ Fundusz Stabilizacyjny - bufor bezpieczeństwa,</t>
  </si>
  <si>
    <t>â€’ system zarządzania środkami pieniężnymi CPR,</t>
  </si>
  <si>
    <t>Grupa ograniczając ryzyko wahań notowań dziennych indeksów, najczęściej wyznacza ceny referencyjne do negocjacji z odbiorcami w oparciu o notowania węgla koksowego hard Premium Low Vol FOB Australia uśredniane według dwóch modeli:</t>
  </si>
  <si>
    <t>â–Ş ceny kwartalne - oparte na podstawie średniej notowań z poprzedniego kwartału,</t>
  </si>
  <si>
    <t>â–Ş ceny miesięczne - oparte na podstawie średniej notowań z poprzedniego miesiąca (w miejsce dotychczas stosowanej tzw. metody Nippon-Steel gdzie referencyjna cena kwartalna wyliczana była jako średnia z dwóch pierwszych miesięcy bieżącego kwartału i ostatniego miesiąca kwartału poprzedzającego).</t>
  </si>
  <si>
    <t>W ostatnich latach znacząco zachwiana została równowaga na globalnym rynku koksu, którego specyfika wynika z niewielkiego udziału wolumenu koksu handlowego (ok. 30 mln ton) w zużyciu ogółem (ok. 700 mln ton). Intensywny rozwój indonezyjskiego przemysłu koksowniczego, wspieranego potężnymi chińskimi inwestycjami w Parku Przemysłowym Morowali, zagraża stabilności sektora i całego rynku europejskiego. Indonezja, korzystając z chińskich technologii i kapitału, w krótkim czasie stała się trzecim największym eksporterem koksu na świecie, a jej potencjał produkcyjny stale wzrasta. Istnieje realne niebezpieczeństwo, iż w ciągu kilku lat stanie się drugim po Chinach eksporterem koksu na świecie, wyprzedzając Polskę. Biorąc pod uwagę, iż inwestycje w Indonezji prowadzi agresywny kapitał chiński, Chiny w niedługim czasie mogą uzyskać niepodważalnie dominującą pozycję na globalnym rynku koksu handlowego i w dowolny sposób kreować rynek.</t>
  </si>
  <si>
    <t>W ramach zarządzania ryzykiem cen węgla koksowego w 2024 roku Grupa wdrożyła transakcje zabezpieczające ryzyko zmian cen węgla koksowego (swap towarowy) o łącznym nominale 15 tys. ton i okresie zapadalności do marca 2025 roku.</t>
  </si>
  <si>
    <t>Uwzględniając notowania węgli koksujących wpływające na ceny Grupy w danym roku (średnia z okresu październik 2023 roku â€“ listopad 2024 roku), spadek średniej ceny referencyjnej węgla koksowego w 2024 roku w stosunku do 2023 roku wyniósł 9% (TSI Premium hard: 290 USD/t w 2023 roku, 263 USD/t w 2024 roku). Natomiast uwzględniając notowania koksu wpływające na ceny Grupy w danym roku (średnia z IV kwartału 2023 roku â€“ III kwartału 2024 roku), spadek średniej ceny referencyjnej koksu w 2024 roku w stosunku do 2023 roku wyniósł ok.12% (koks wielkopiecowy na rynku europejskim: 413 USD/t w 2023 roku, 364 USD/t w 2024 roku).</t>
  </si>
  <si>
    <t>Powyższe uwarunkowania rynkowe miały przełożenie w zrealizowanych cenach przez Grupy. Uzyskana średnia cena węgla ogółem w 2024 roku wynosiła 790,86 PLN/t i była niższa od osiągniętej w analogicznym okresie ubiegłego roku o 21,1%. Średnia cena węgla koksowego w tym okresie wynosiła 899,28 PLN/t (spadek w stosunku do analogicznego okresu roku ubiegłego o 20,0%), a średnia cena węgla do celów energetycznych osiągnęła poziom 452,06 PLN/t (spadek do analogicznego okresu roku ubiegłego o 35,3%).</t>
  </si>
  <si>
    <t>W 2024 roku Grupa wyznaczyła do rachunkowości zabezpieczeń transakcje swap towarowy o nominale 15,0 tys. ton zabezpieczające ryzyko zmiany cen węgla koksowego. Według stanu na 31 grudnia 2024 roku Grupa posiadała czynne transakcje pochodne (swap towarowy) o łącznym nominale 17,0 tys. ton, które w całości stanowią transakcje zabezpieczające w rozumieniu rachunkowości zabezpieczeń (na 31 grudnia 2023 roku Grupa posiadała czynne transakcje pochodne (swap towarowy) o łącznym nominale 71,0 tys. ton). Transakcje pochodne stanowią zabezpieczenie wpływów ze sprzedaży węgla, które Grupa spodziewa się otrzymać w okresie do czerwca 2025 roku.</t>
  </si>
  <si>
    <t>W 2024 roku część skuteczna zmiany wartości godziwej transakcji zabezpieczających w kwocie 16,6 mln PLN została odniesiona w inne całkowite dochody (w 2023 roku: 2,0 mln). Część nieskuteczna zmiany wartości godziwej transakcji zabezpieczających od daty wyznaczenia powiązania w wysokości 0,2 mln PLN została odniesiona w wynik finansowy (w 2023 roku: 0,1 mln PLN). W wyniku realizacji pozycji zabezpieczanej w 2024 roku w wynik finansowy została odniesiona kwota 5,3 mln PLN ujęta w przychodach ze sprzedaży â€“ Nota 4.1. (w 2023 roku: 6,1 mln PLN).</t>
  </si>
  <si>
    <t>(105,5) (34,0)</t>
  </si>
  <si>
    <t>20,1 6,5</t>
  </si>
  <si>
    <t>WPŁYW NA WYNIK NETTO (85,4) (27,5)</t>
  </si>
  <si>
    <t>WYBRANE POZYCJE BILANSOWE EUR USD</t>
  </si>
  <si>
    <t>Aktywa FIZ 289,9 31,5</t>
  </si>
  <si>
    <t>Środki pieniężne i ich ekwiwalenty 67,7 10,4</t>
  </si>
  <si>
    <t>82,4</t>
  </si>
  <si>
    <t>Należności handlowe 281,6 125,5</t>
  </si>
  <si>
    <t>481,5</t>
  </si>
  <si>
    <t>Zobowiązania FIZ - (0,2)</t>
  </si>
  <si>
    <t>Zobowiązania handlowe (10,0) (0,8)</t>
  </si>
  <si>
    <t>(23,0)</t>
  </si>
  <si>
    <t>EKSPOZYCJA NETTO 370,8 12,4</t>
  </si>
  <si>
    <t>728,1</t>
  </si>
  <si>
    <t>Stopień wrażliwości Grupy na wzrost i spadek kursu EUR/PLN i USD/PLN przedstawiony jest w poniższej tabeli. Analiza wrażliwości obejmuje wyłącznie nierozliczone na koniec okresu sprawozdawczego pozycje denominowane w walutach obcych i prezentuje potencjalną zmianę wartości aktywów i zobowiązań finansowych w wyniku zmiany kursu walutowego. Analiza wrażliwości skalkulowana jest w oparciu o zmienność implikowaną publikowaną przez serwis Refinitiv na dzień 31 grudnia 2024 roku dla okresu bieżącego oraz na dzień 31 grudnia 2023 roku dla danych porównawczych.</t>
  </si>
  <si>
    <t>Kurs USD/PLN</t>
  </si>
  <si>
    <t>wynik netto inne całkowite dochody</t>
  </si>
  <si>
    <t>Zmiana wartości aktywów finansowych 37,0 - 52,4 - 17,7 0,6 35,1 -</t>
  </si>
  <si>
    <t>Zmiana wartości zobowiązań finansowych (29,2) (27,9) (36,2) (2,8) (37,3) (43,8) (29,5) (29,2)</t>
  </si>
  <si>
    <t>Wpływ na wynik przed opodatkowaniem lub inne całkowite dochody 7,8 (27,9) 16,2 (2,8) (19,6) (43,2) 5,6 (29,2)</t>
  </si>
  <si>
    <t>Efekt podatkowy (1,5) 5,3 (3,1) 0,5 3,7 8,2 (1,1) 5,5</t>
  </si>
  <si>
    <t>WPŁYW NA WYNIK NETTO 6,3 13,1 - (15,9) 4,5 -</t>
  </si>
  <si>
    <t>WPŁYW NA INNE CAŁKOWITE DOCHODY (22,6) - (2,3) (35,0) - (23,7)</t>
  </si>
  <si>
    <t>Mając na celu eliminowanie ryzyka kursowego Grupa w 2024 roku zawierała transakcje Fx Forward (zewnętrzne), zgodnie z przyjętymi przez Zarząd JSW i Komitet Ryzyka Finansowego współczynnikami zabezpieczeń. Okres zapadalności zawartych transakcji nie przekraczał 14 miesięcy.</t>
  </si>
  <si>
    <t>â–Ş W 2024 roku Grupa wyznaczyła do rachunkowości zabezpieczeń transakcje Fx Forward o nominale 76,5 mln EUR i 106,5 mln USD. Jednocześnie Grupa kontynuowała rachunkowość zabezpieczeń dla transakcji Fx Forward zawartych w 2023 roku.</t>
  </si>
  <si>
    <t>Według stanu na dzień 31 grudnia 2024 roku Grupa posiadała czynne transakcje pochodne Fx Forward o łącznym nominale 113,5 mln EUR i 146,7 mln USD, z czego 58,5 mln EUR i 66,5 mln USD stanowią transakcje zabezpieczające w rozumieniu rachunkowości zabezpieczeń. Transakcje pochodne stanowią zabezpieczenie wpływów w EUR i USD ze sprzedaży produktów, które Grupa spodziewa się otrzymać w okresie do listopada 2025 roku.</t>
  </si>
  <si>
    <t>Grupa w okresie 12 miesięcy zakończonym 31 grudnia 2024 roku wyznaczyła do rachunkowości zabezpieczeń kredyt denominowany w EUR (transza kredytu uruchomiona w roku 2024) na instrument zabezpieczający przyszłe przepływy denominowane w EUR.</t>
  </si>
  <si>
    <t>Jednocześnie Grupa w 2024 roku kontynuowała w rachunkowości zabezpieczeń powiązanie zabezpieczające, w którym na instrument zabezpieczający przyszłe przepływy denominowane w USD został wyznaczony kredyt denominowany w USD (transza kredytu uruchomiona w roku 2023).</t>
  </si>
  <si>
    <t>Celem podejmowanych przez Grupę działań zabezpieczających przed ryzykiem zmiany kursu EUR/PLN i USD/PLN jest zagwarantowanie określonego poziomu wartości złotowej wpływów walutowych generowanych w EUR i USD z tytułu realizowanej przez Grupę sprzedaży koksu. Pozycje zabezpieczane stanowią wysoce prawdopodobne przyszłe przepływy pieniężne wyrażone w EUR i USD realizujące się w okresach spłaty rat kapitałowych odpowiednio do wysokości rat kapitałowych w EUR i USD. Szczegółowe zestawienie dat i wolumenów wyznaczonych instrumentów zabezpieczających określają przyjęte przez Grupę harmonogramy spłat rat kapitałowych.</t>
  </si>
  <si>
    <t>Część nieskuteczna zmiany wartości godziwej transakcji zabezpieczających w wysokości 0,3 mln PLN (wartość dotyczy zmiany w 2024 roku) oraz zmiana wartości godziwej instrumentów pochodnych niewyznaczonych do rachunkowości zabezpieczeń w wysokości (8,2) mln PLN została odniesiona w wynik finansowy 2024 roku. W wyniku realizacji pozycji zabezpieczanej w 2023 roku w wynik finansowy została odniesiona kwota 13,7 mln PLN, została ujęta w przychodach ze sprzedaży â€“ Nota 4.1.</t>
  </si>
  <si>
    <t>Według stanu na 31 grudnia 2023 roku Grupa posiadała czynne transakcje pochodne Fx Forward o łącznym nominale 82,7 mln EUR i 44,0 mln USD, z czego 9,0 mln EUR i 30,0 mln USD stanowią transakcje zabezpieczające w rozumieniu rachunkowości zabezpieczeń. Transakcje pochodne stanowią zabezpieczenie wpływów w EUR i USD ze sprzedaży produktów i towarów, które Grupa spodziewa się otrzymać w okresie do września 2024 roku.</t>
  </si>
  <si>
    <t>Grupa w 2023 roku wyznaczyła do rachunkowości zabezpieczeń kredyt denominowany w USD w wysokości 44,3 mln USD (zaciągnięty w roku 2023) na instrument zabezpieczający przyszłe przepływy denominowane w USD. Celem podejmowanych przez Grupę działań zabezpieczających przed ryzykiem zmiany kursu USD/PLN jest zagwarantowanie określonego poziomu wartości złotowej wpływów walutowych generowanych w USD z tytułu realizowanej przez Grupę sprzedaży koksu. Pozycje zabezpieczane stanowią wysoce prawdopodobne przyszłe przepływy pieniężne wyrażone w USD realizujące się w okresach spłaty rat kapitałowych odpowiednio do wysokości raty kapitałowej w USD. Szczegółowe zestawienie dat i wolumenu wyznaczonego instrumentu zabezpieczającego określa przyjęty przez Spółkę harmonogram spłaty rat kapitałowych.</t>
  </si>
  <si>
    <t>W związku ze spłatą kredytów denominowanych w USD wynikających z Umowy Finansowania z 2019 roku, Grupa w dniu 15 czerwca 2023 roku rozwiązała powiązania zabezpieczające, w których kredyty denominowane w USD, w wysokości 78,4 mln USD, zabezpieczały przed ryzykiem walutowym przyszłe przepływy denominowane w USD. Na dzień rozwiązania powiązań Grupa wykonała testy skuteczności, w wyniku których różnice kursowe odniesione zostały w kapitał z aktualizacji wyceny instrumentów finansowych. Grupa uznaje, że pozycje zabezpieczane są nadal wysoce prawdopodobne.</t>
  </si>
  <si>
    <t>W związku z powyższym ujemne różnice kursowe z tytułu kredytów denominowanych w USD, których wartość od początku powiązania do dnia zamknięcia wynosi (13,9) mln PLN będą odnoszone do wyniku w momencie realizacji pozycji zabezpieczanych zgodnie z przyjętym na dzień utworzenia powiązania harmonogramem spłat, pod warunkiem spełnienia warunków określonych w MSSF 9.</t>
  </si>
  <si>
    <t>Część nieskuteczna zmiany wartości godziwej transakcji zabezpieczających w wysokości (0,4) mln PLN (wartość dotyczy zmiany w 2023 roku) oraz zmiana wartości godziwej instrumentów pochodnych niewyznaczonych do rachunkowości zabezpieczeń w wysokości 11,1 mln PLN została odniesiona w wynik finansowy okresu. W wyniku realizacji pozycji zabezpieczanej w 2023 roku w wynik finansowy została odniesiona kwota 33,9 mln PLN, została ujęta w przychodach ze sprzedaży Nota 4.1.)</t>
  </si>
  <si>
    <t>Transakcje walutowe otwarte na dzień 31 grudnia 2023 roku przedstawiają się następująco:</t>
  </si>
  <si>
    <t>Narażenie Grupy na ryzyko wywołane zmianami stóp procentowych dotyczy przede wszystkim faktu, iż przepływy pieniężne mogą ulec zmianie w wyniku zmian rynkowych stóp procentowych. Grupa częściowo finansuje swoją działalność operacyjną i inwestycyjną kapitałem obcym oprocentowanym zarówno według stałych, jak i według zmiennych stóp procentowych i inwestuje wolne środki pieniężne w aktywa finansowe w większości oprocentowane według zmiennych stóp procentowych. Ryzyko zmiany stóp procentowych wynika głównie ze zmienności następujących stawek referencyjnych: WIBOR 1M, WIBOR 3M, WIBID 1M, Składana Stopa Referencyjna SOFR, EURIBOR.</t>
  </si>
  <si>
    <t>stałe zmienne*</t>
  </si>
  <si>
    <t>zmienne*</t>
  </si>
  <si>
    <t>Środki pieniężne i ich ekwiwalenty Funduszu Likwidacji Zakładów Górniczych - 442,6</t>
  </si>
  <si>
    <t>429,3</t>
  </si>
  <si>
    <t>Inwestycje w portfel aktywów FIZ 2 091,7 5 865,0</t>
  </si>
  <si>
    <t>1 083,4</t>
  </si>
  <si>
    <t>6 392,6</t>
  </si>
  <si>
    <t>Lokaty bankowe 25,8 -</t>
  </si>
  <si>
    <t>Środki pieniężne i ich ekwiwalenty 344,3 540,7</t>
  </si>
  <si>
    <t>2 017,5</t>
  </si>
  <si>
    <t>673,3</t>
  </si>
  <si>
    <t>Kredyty i pożyczki - 1 523,2</t>
  </si>
  <si>
    <t>Zobowiązania z tytułu leasingu 311,9 29,1</t>
  </si>
  <si>
    <t>354,0</t>
  </si>
  <si>
    <t>28,4</t>
  </si>
  <si>
    <t>Kredyty i pożyczki 104,6 258,1</t>
  </si>
  <si>
    <t>465,0</t>
  </si>
  <si>
    <t>170,8</t>
  </si>
  <si>
    <t>Zobowiązania z tytułu leasingu 249,4 23,6</t>
  </si>
  <si>
    <t>35,4</t>
  </si>
  <si>
    <t>Zobowiązania FIZ 4 045,3 5,2</t>
  </si>
  <si>
    <t>1 900,3</t>
  </si>
  <si>
    <t>* Na dzień 31 grudnia 2024 roku pozycje oprocentowane według zmiennej stopy procentowej SOFR dotyczą kredytów i pożyczek i wynoszą: długoterminowe 345,1 mln PLN, krótkoterminowe 58,2 mln PLN (na dzień 31 grudnia 2023 roku pozycje oprocentowane według zmiennej stopy procentowej SOFR dotyczą kredytów i pożyczek: długoterminowe 133,9 mln PLN, krótkoterminowe 22,6 mln PLN).</t>
  </si>
  <si>
    <t>Zmiana wartości aktywów finansowych 65,2 130,4</t>
  </si>
  <si>
    <t>74,4</t>
  </si>
  <si>
    <t>148,8 - -</t>
  </si>
  <si>
    <t>Zmiana wartości zobowiązań finansowych (14,4) (28,8)</t>
  </si>
  <si>
    <t>(8,7)</t>
  </si>
  <si>
    <t>(17,3) (1,4) (2,8)</t>
  </si>
  <si>
    <t>(3,1) (2,7) (5,3)</t>
  </si>
  <si>
    <t>Wpływ na wynik przed opodatkowaniem 50,8 101,6</t>
  </si>
  <si>
    <t>131,5 (1,4) (2,8)</t>
  </si>
  <si>
    <t>(3,1) (2,2) (4,4)</t>
  </si>
  <si>
    <t>Efekt podatkowy (9,7) (19,3)</t>
  </si>
  <si>
    <t>(25,0) 0,3 0,5</t>
  </si>
  <si>
    <t>WPŁYW NA WYNIK NETTO 41,1 82,3</t>
  </si>
  <si>
    <t>53,2</t>
  </si>
  <si>
    <t>106,5 (1,1) (2,3)</t>
  </si>
  <si>
    <t>(2,5) (1,8) (3,6)</t>
  </si>
  <si>
    <t>Na dzień 31 grudnia 2024 roku koncentracja ryzyka występuje u największego odbiorcy Grupy oraz spółek, w których Skarb Państwa posiada udziały, od których należności handlowe stanowią odpowiednio 38,1% i 14,8% ogółu należności handlowych na dzień 31 grudnia 2024 roku (na dzień 31 grudnia 2023 roku: odpowiednio 30,9% i 18,9% ogółu należności handlowych).</t>
  </si>
  <si>
    <t>W 2024 roku Grupa nie zaobserwowała istotnego pogorszenia zdolności do terminowego regulowania należności, bądź też zwiększenia ilości upadłości lub restrukturyzacji wśród swoich klientów. Głównym elementem polityki Grupy w tym obszarze jest mitygowanie ryzyka utraty należności spowodowanej niewypłacalnością kontrahentów poprzez zastosowanie odpowiednich i dostosowanych do statusu klienta (klient strategiczny, podstawowy) zabezpieczeń finansowych w transakcjach handlowych w postaci m.in. ubezpieczenia należności, akredytyw, przedpłat. Grupa nie realizowała transakcji z podmiotami zarejestrowanymi w Rosji i Ukrainie, sankcje nakładane na Rosję i działania wojenne na terenie Ukrainy nie wpływają na zwiększenie ryzyka, a regulowanie należności wykazanych w skonsolidowanym sprawozdaniu z sytuacji finansowej na dzień 31 grudnia 2024 roku, których termin wymagalności przypada w najbliższych miesiącach, pozostanie na niezmienionym istotnie poziomie. W związku z powyższym, na dzień 31 grudnia 2024 roku Grupa nie zidentyfikowała przesłanek do zmodyfikowania założeń przyjętych do oceny oczekiwanej straty kredytowej pod kątem potencjalnej konieczności uwzględnienia dodatkowego elementu ryzyka związanego z obecną sytuacją gospodarczą oraz prognozami na przyszłość. Grupa na bieżąco analizuje sytuację na rynkach oraz spływające sygnały od kontrahentów mogące świadczyć o pogorszeniu sytuacji finansowej i w razie konieczności dokona aktualizacji przyjętych szacunków do kalkulacji oczekiwanej straty kredytowej w kolejnych okresach sprawozdawczych.</t>
  </si>
  <si>
    <t>Według stanu na dzień 31 grudnia 2024 roku ubezpieczeniu podlegało 14,3% należności handlowych Grupy, zabezpieczonych w formie akredytywy było 13,3% należności handlowych Grupy (według stanu na dzień 31 grudnia 2023 roku ubezpieczeniu podlegało 19,2% należności handlowych, a zabezpieczonych w formie akredytywy było 6,6% należności handlowych Grupy).</t>
  </si>
  <si>
    <t>Moodyâ€™s 65,6%</t>
  </si>
  <si>
    <t>44,7%</t>
  </si>
  <si>
    <t>FITCH 32,9%</t>
  </si>
  <si>
    <t>22,0%</t>
  </si>
  <si>
    <t>29,7%</t>
  </si>
  <si>
    <t>- 1,0%</t>
  </si>
  <si>
    <t>3,6%</t>
  </si>
  <si>
    <t>Biorąc pod uwagę powyższe, poziom ryzyka związanego z działalnością lokacyjną można oszacować jako niski.</t>
  </si>
  <si>
    <t>Grupa dokonuje doboru banków współpracujących na płaszczyźnie transakcji terminowych na analogicznych zasadach, jak w przypadku lokowania czasowo wolnych środków finansowych. Zgodnie z Polityką Zarządzania Ryzykiem Walutowym Grupy Kapitałowej JSW wraz z procedurą, Grupa zabezpiecza ryzyko walutowe m.in. poprzez wykorzystanie hedgingu naturalnego oraz zawieranie transakcji zabezpieczających z bankami. W celu minimalizacji ryzyka związanego z zawieraniem transakcji zabezpieczających Grupa współpracuje wyłącznie z bankami o wysokiej wiarygodności. W celu dywersyfikacji ryzyka związanego z zawieraniem transakcji zabezpieczających, Komitet Ryzyka Finansowego ustala maksymalny stopień koncentracji transakcji pochodnych (maksymalny nominał otwartych transakcji w jednym banku). Proces zabezpieczania ryzyka walutowego podlega ciągłemu monitoringowi. Najwyższy stopień koncentracji w jednym banku według stanu na dzień 31 grudnia 2024 roku wynosi około 31% dopuszczalnego limitu (w 2023 roku: około 18% dopuszczalnego limitu).</t>
  </si>
  <si>
    <t>Ryzyko kredytowe związane z inwestycjami w portfel aktywów FIZ zostało przedstawione w Nocie7.5.</t>
  </si>
  <si>
    <t>W związku z silnym uzależnieniem przepływów pieniężnych i poziomu generowanej gotówki od cen sprzedaży węgla i koksu, a także stale wysokim poziomem wydatków o charakterze inwestycyjnym i operacyjnym, w przypadku znacznego pogorszenia sytuacji rynkowej Grupa jest narażona na ryzyko utraty płynności. Warunki rynkowe w 2024 roku nie pozwoliły na generowanie dodatnich przepływów pieniężnych netto z działalności operacyjnej, dodatkowo Grupa wygenerowała wysokie ujemne przepływy z działalności inwestycyjnej. Grupa osiągnęła dodatnie przepływy pieniężne z działalności finansowej, co wynikało głównie z uruchomień transz kredytów i pożyczek. Dodatnie przepływy finansowe nie pokryły ujemnych przepływów z działalności operacyjnej i inwestycyjnej, co skutkowało istotnym zmniejszeniem salda dostępnych środków pieniężnych w 2024 roku. Materializacja ryzyka utraty płynności jest jednym z najistotniejszych czynników, który może wpływać na kontynuację prowadzenia przez Grupę działalności. Dlatego też Grupa podejmuje szereg działań strategicznych i operacyjnych w celu minimalizacji ryzyka utraty płynności.</t>
  </si>
  <si>
    <t>â–Ş Jednostka dominująca posiada utworzony Fundusz Stabilizacyjny, który w czasach dekoniunktury stanowi bufor bezpieczeństwa w razie konieczności ponoszenia wydatków nieznajdujących pokrycia we wpływach. Wartość aktywów netto Funduszu na dzień 31 grudnia 2024 roku wynosi 3 906,2 mln PLN (na dzień 31 grudnia 2023 roku: 5 566,0 mln PLN). W 2024 roku Grupa dokonała wycofania środków z FIZ o wartości 2 016,7 mln PLN, po dniu kończącym okres sprawozdawczy Grupa dokonała wycofania środków z FIZ w łącznej szacowanej kwocie 1 750,0 mln PLN, szczegóły w Nocie 7.5.</t>
  </si>
  <si>
    <t>â–Ş W marcu oraz kwietniu 2024 roku Jednostka dominująca zawarła umowy pożyczki z WFOŚiGW na łączną kwotę 24,1 mln PLN na finansowanie inwestycji, co zostało szerzej opisane w Nocie 6.1. W czerwcu 2024 roku uruchomiono transze ww. pożyczek w łącznej kwocie 23,6 mln PLN.</t>
  </si>
  <si>
    <t>â–Ş W ramach Umowy Finansowania z Konsorcjum z dnia 12 kwietnia 2023 roku, w 2024 roku, uruchomiono transze kredytów i pożyczek na łączną kwotę 620,4 mln PLN, 38,1 mln USD oraz 62,0 mln EUR (szczegóły w Nocie 6.1.)</t>
  </si>
  <si>
    <t>â–Ş W 2024 roku Grupa uruchomiła finansowanie wynikające z podpisanych przez JSW i JSW KOKS umów pożyczek z NFOŚiGW w łącznej wysokości 125,4 mln PLN. Szczegółowe kwoty w ramach poszczególnych pożyczek zostały omówione w Nocie 6.1.</t>
  </si>
  <si>
    <t>â–Ş Grupa wdraża szereg inicjatyw, których celem jest poprawa bieżącej płynności, polegających m.in. na renegocjacji umów z kontrahentami, zarówno w zakresie zmian terminów realizacji umów, zmian terminów płatności, jak i warunków cenowych, wstrzymaniu lub zmian harmonogramów realizowanych inwestycji, inicjatyw w zakresie oszczędności zakupowych, zmian w zakresie sposobu i terminu realizacji niektórych świadczeń pracowniczych.</t>
  </si>
  <si>
    <t>Na dzień sporządzenia niniejszego skonsolidowanego sprawozdania finansowego, mając na uwadze wyżej opisane narzędzia zarządzania płynnością, w tym wykorzystanie środków zgromadzonych w FIZ, Grupa ocenia, że posiada źródła finansowania do realizacji bieżących zobowiązań, płatności związanych z regulowaniem zobowiązań wynikających z umów finansowania zgodnie z harmonogramem, a także realizację niezbędnych projektów inwestycyjnych.</t>
  </si>
  <si>
    <t>Tabela na następnej stronie zawiera analizę zobowiązań finansowych Grupy w odpowiednich przedziałach wiekowych, na podstawie pozostałego okresu do upływu umownego terminu zapadalności na dzień kończący okres sprawozdawczy. Kwoty przedstawione w tabeli stanowią umowne niezdyskontowane przepływy pieniężne. Salda zobowiązań handlowych oraz pozostałych zobowiązań o charakterze finansowym przypadające do spłaty w terminie 12 miesięcy są wykazywane w wartościach księgowych, ponieważ wpływ dyskonta jest nieistotny pod względem wartości.</t>
  </si>
  <si>
    <t>Poniżej roku Od 1 do 2 lat Od 2 do 5 lat Ponad 5 lat Razem STAN NA 31 GRUDNIA 2024 Kredyty i pożyczki 465,5 325,7 1 166,4 297,0 2 254,6 Zobowiązania handlowe oraz pozostałe zobowiązania o charakterze finansowym 1 980,7 9,9 3,3 18,7 2 012,6 Zobowiązania z tytułu leasingu 311,6 174,7 78,7 367,8 932,8 Zobowiązania FIZ 4 047,6 - - 5,2 4 052,8 Pochodne instrumenty finansowe (rozliczane brutto) 676,6 - - - 676,6 RAZEM 7 482,0 510,3 1 248,4 688,7 9 929,4 STAN NA 31 GRUDNIA 2023 Kredyty i pożyczki 693,5 155,4 495,4 280,3 1 624,6 Zobowiązania handlowe oraz pozostałe zobowiązania o charakterze finansowym 2 203,2 9,8 7,8 19,8 2 240,6 Zobowiązania z tytułu leasingu 296,6 189,2 108,6 376,2 970,6 Zobowiązania FIZ 1 911,5 - - - 1 911,5 Pochodne instrumenty finansowe (rozliczane brutto) 485,4 - - - 485,4 RAZEM 5 590,2 354,4 611,8 676,3 7 232,7</t>
  </si>
  <si>
    <t>Na dzień 31 grudnia 2024 roku udział kapitałów własnych w sumie kapitału własnego i zobowiązań wynosi 0,43, wskaźnik pokrycia aktywów trwałych kapitałem stałym wynosi 0,74 (na dzień 31 grudnia 2023 roku odpowiednio: 0,61 i 0,94). Należy podkreślić, iż wartość wskaźnika pokrycia zdeterminowana jest wysokim poziomem aktywów trwałych, w tym inwestycji w portfel aktywów FIZ. Do kapitału stałego Grupa wlicza kapitały własne wraz z zobowiązaniami długoterminowymi. Oba wskaźniki uległy znaczącemu obniżeniu w związku z wygenerowaną stratą netto za 2024 rok.</t>
  </si>
  <si>
    <t>22 873,0</t>
  </si>
  <si>
    <t>WSKAŁąNIK UDZIAŁU KAPITAŁÓW WŁASNYCH W SUMIE KAPITAŁU WŁASNEGO I ZOBOWIĄZAŁ 0,43</t>
  </si>
  <si>
    <t>0,61</t>
  </si>
  <si>
    <t>18 868,0</t>
  </si>
  <si>
    <t>4 172,1</t>
  </si>
  <si>
    <t>13 918,9</t>
  </si>
  <si>
    <t>20 783,0</t>
  </si>
  <si>
    <t>WSKAŁąNIK POKRYCIA AKTYWÓW TRWAŁYCH KAPITAŁEM STAŁYM 0,74</t>
  </si>
  <si>
    <t>0,94</t>
  </si>
  <si>
    <t>Zarządzanie ryzykiem kapitałowym obejmuje również monitorowanie wskaźnika Zadłużenie Finansowe Netto/EBITDAâ€ť, który jest obliczany na poziomie Grupy, w oparciu o uregulowania i definicje ujęte w Umowie Finansowania z 2023 roku, zawartej przez JSW z Konsorcjum. Zgodnie z definicją zawartą w umowie finansowania, przez EBITDA rozumie się wynik operacyjny Grupy skorygowany o amortyzację oraz inne pozycje wymienione w tej umowie.</t>
  </si>
  <si>
    <t>Zgodnie z wymogami Umowy Finansowania z 2023 roku, priorytetowe dla Grupy jest utrzymanie wysokości wskaźnika Zadłużenie Finansowe Netto/EBITDA na poziomie nieprzekraczającym 3,3x. Według zapisów Umowy Finansowania, JSW jest zobowiązana do przedstawienia stosownych wyliczeń wskaźnika według stanu na koniec każdego kwartału. Warunek dotyczący utrzymania poziomu wskaźnika Zadłużenie Finansowe Netto/EBITDAâ€ť został w 2024 roku wypełniony w okresach kwartalnych (śródrocznych) podlegających raportowaniu Konsorcjum. Kalkulacja wskaźnika na dzień sporządzenia niniejszego skonsolidowanego sprawozdania wskazuje, że powyższy wskaźnik za rok 2024 zostanie spełniony. Jednak kalkulacja ta wymaga odrębnego potwierdzenia przez biegłego rewidenta, co będzie miało miejsce po dniu publikacji niniejszego sprawozdania.</t>
  </si>
  <si>
    <t>Mając na uwadze powyższe, w dniu 31 marca 2021 roku Zarząd JSW zawarł Porozumienie Zbiorowe z Reprezentatywnymi Organizacjami Związkowymi działającymi w JSW, które zakłada gwarancje zatrudnienia dla wszystkich pracowników JSW przez okres 10 lat, licząc od dnia zawarcia Porozumienia. W przypadku niedotrzymania przez JSW gwarancji zatrudnienia, Jednostka dominująca będzie zobowiązana do wypłaty odszkodowania w wysokości równej iloczynowi przeciętnego miesięcznego wynagrodzenia w JSW w roku poprzedzającym rozwiązanie stosunku pracy i liczby miesięcy, które pozostają do upływu okresu gwarancji zatrudnienia (w przypadku pracowników administracyjnych nie więcej niż sześćdziesięciokrotność przeciętnego wynagrodzenia w roku poprzedzającym). Strony zobowiązały się do wzajemnej współpracy w celu zachowania aktualnych miejsc pracy i rozwoju JSW. Strony postanowiły, że Porozumienie będzie obowiązywać do czasu wejścia w życie nowego jednolitego Zakładowego Układu Zbiorowego Pracy dla Pracowników JSW, a do tego czasu warunki umów o pracę pracowników zakładów JSW nie ulegną zmianom i nie będą podlegać wypowiedzeniom.</t>
  </si>
  <si>
    <t>W dniu 3 marca 2022 roku został zawarty Pakiet Gwarancji Socjalnych dla pracowników JSW KOKS, pomiędzy Organizacjami Związków Zawodowych działającymi w JSW KOKS a JSW KOKS jako pracodawcą oraz JSW w charakterze gwaranta zobowiązań JSW KOKS. Pakiet zakłada gwarancje zatrudnienia dla wszystkich pracowników JSW KOKS na okres 10 lat, licząc od dnia zawarcia Pakietu. W przypadku niedotrzymania przez JSW KOKS gwarancji zatrudnienia, JSW KOKS będzie zobowiązana do wypłaty niezależnie od innych świadczeń przysługujących zgodnie z przepisami prawa pracy, odprawy w wysokości odpowiadającej iloczynowi średniego miesięcznego wynagrodzenia brutto ze wszystkimi elementami płacowymi w JSW KOKS w roku poprzedzającym rozwiązanie stosunku pracy (nie niższego od średniego wynagrodzenia brutto w JSW KOKS na dzień 31 grudnia 2021 roku) i liczby miesięcy, które pozostają do upływu okresu gwarancji zatrudniania. Równocześnie Pakiet gwarantuje zatrudnienie w Grupie w razie rozwiązania stosunku pracy z pracownikami spółek zależnych JSW KOKS, którzy zostali przejęci w trybie art. 231 Kodeksu Pracy oraz pozostawali w zatrudnieniu w spółkach zależnych w dniu wejścia w życie Pakietu.</t>
  </si>
  <si>
    <t>Na dzień 31 grudnia 2024 roku w Grupie występowały czynne gwarancje ubezpieczeniowe na łączną kwotę 28,5 mln PLN oraz czynne gwarancje bankowe na łączną kwotę 16,2 mln PLN (na dzień 31 grudnia 2023 roku: gwarancje ubezpieczeniowe wynosiły 31,8 mln PLN, a gwarancje bankowe:15,7 mln PLN).</t>
  </si>
  <si>
    <t>W 2024 roku spółki Grupy uczestniczyły w postępowaniach sądowych i administracyjnych związanych z prowadzoną przez nie działalnością. Postępowania sądowe, które mogłyby w istotny sposób wpłynąć na sytuację finansową i rentowność Grupy zostały zaprezentowane w Punkcie 5.2. Sprawozdania Zarządu z działalności Jastrzębskiej Spółki Węglowej S.A. oraz Grupy Kapitałowej Jastrzębskiej Spółki Węglowej S.A. za rok obrotowy zakończony 31 grudnia 2024 roku.</t>
  </si>
  <si>
    <t>Zobowiązania umowne zaciągnięte w celu nabycia rzeczowych aktywów trwałych i wartości niematerialnych</t>
  </si>
  <si>
    <t>1 106,0 1 269,2</t>
  </si>
  <si>
    <t>186,0 167,8</t>
  </si>
  <si>
    <t>1 292,0 1 437,0</t>
  </si>
  <si>
    <t>W 2024 roku nie wystąpiły zmiany w udziałach nie kontrolujących. Natomiast w okresie porównawczym tj. 31 maja 2023 roku Nadzwyczajne Zgromadzenie Wspólników JZR Dźwigi podjęło uchwałę w sprawie wyrażenia zgody na nabycie udziałów wspólnika mniejszościowego JZR Dźwigi w celu ich dobrowolnego umorzenia. W dniu 15 czerwca 2023 została zawarta umowa zbycia 194 udziałów za łączną cenę 746 141,46 PLN. W dniu 21 lipca 2023 roku Nadzwyczajne Zgromadzenie Wspólników JZR Dźwigi podjęło uchwałę w sprawie dobrowolnego umorzenia 194 udziałów. Sąd Rejonowy w Gliwicach dnia 21 sierpnia 2023 roku wydał postanowienie o wykreśleniu wspólnika mniejszościowego z KRS. Po finalizacji ww. transakcji JZR posiada 1 097 udziałów JZR Dźwigi stanowiących 100% udziału w kapitale zakładowym spółki.</t>
  </si>
  <si>
    <t>STAN NA 1 STYCZNIA 502,3 501,0</t>
  </si>
  <si>
    <t>Całkowite dochody przypadające na udziały niekontrolujące (42,5) 2,4</t>
  </si>
  <si>
    <t>Dywidendy - (0,2)</t>
  </si>
  <si>
    <t>Transakcje z udziałami niekontrolującymi - JZR Dźwigi - (0,9)</t>
  </si>
  <si>
    <t>STAN NA 31 GRUDNIA 459,8 502,3</t>
  </si>
  <si>
    <t>Na dzień 31 grudnia 2024 roku i 31 grudnia 2023 roku większościowym akcjonariuszem Grupy był Skarb Państwa.</t>
  </si>
  <si>
    <t>W 2024 roku oraz w okresie porównawczym Skarb Państwa był bezpośrednim podmiotem dominującym najwyższego szczebla. W związku z powyższym wszystkie spółki należące do Skarbu Państwa (bezpośrednio i pośrednio) są podmiotami powiązanymi z Grupą. Zarząd Jednostki dominującej ujawnił w niniejszym skonsolidowanym sprawozdaniu finansowym transakcje z istotnymi jednostkami powiązanymi, które zostały zidentyfikowane jako podmioty powiązane na podstawie jego najlepszej wiedzy.</t>
  </si>
  <si>
    <t>W 2024 roku wszystkie transakcje Grupy z podmiotami powiązanymi dokonywane były na warunkach rynkowych oraz miały charakter typowy i zawierane były w normalnym trybie działalności.</t>
  </si>
  <si>
    <t>W 2024 roku zidentyfikowano indywidualną transakcję przeprowadzoną między JSW i jednostkami powiązanymi ze Skarbem Państwa, która była znacząca ze względu na nietypowy zakres i/lub kwotę. Transakcja dotyczy dokonanej we wrześniu 2024 roku całkowitej spłaty pożyczki płynnościowej oraz pożyczki preferencyjnej udzielonych przez Polski Fundusz Rozwoju w 2020 roku w ramach Programu Rządowego â€žTarcza Finansowa Polskiego Funduszu Rozwoju dla Dużych Firmâ€ť - szczegóły w Nocie 6.1.</t>
  </si>
  <si>
    <t>Natomiast w 2023 roku zidentyfikowano indywidualną transakcję przeprowadzoną między JSW i jednostkami powiązanymi ze Skarbem Państwa, która była znacząca ze względu na nietypowy zakres i/lub kwotę. Transakcja ta dotyczy zawartej w dniu 12 kwietnia 2023 roku Umowy Finansowania pomiędzy JSW a instytucjami finansowymi wchodzącymi w skład Konsorcjum na łączną kwotę 1 650,0 mln PLN â€“ (szczegóły w Nocie 6.1.).</t>
  </si>
  <si>
    <t>Pozostałe transakcje w okresie od 1 stycznia do 31 grudnia 2024 roku oraz w okresie od 1 stycznia do 31 grudnia 2023 roku zawarte przez Grupę z jednostkami zależnymi od Skarbu Państwa, które są znaczące zbiorowo, związane są z bieżącą działalnością operacyjną Grupy. W 2024 roku najistotniejszymi dostawcami będącymi spółkami kontrolowanymi przez Skarb Państwa były następujące podmioty: Grupa ENEA, PGNiG Grupa Orlen, Grupa PKP, Grupa Spółek Węglokoks S.A. Natomiast najistotniejszymi odbiorcami Grupy będącymi spółkami kontrolowanymi przez Skarb Państwa były w 2024 roku następujące podmioty: Grupa PGE, WZK Victoria S.A., Grupa TAURON, PGNiG Grupa Orlen oraz KGHM Polska Miedź S.A.</t>
  </si>
  <si>
    <t>Grupa realizuje również transakcje dotyczące udzielania i spłaty kredytów i pożyczek, lokowania środków pieniężnych, zakupu dłużnych papierów wartościowych, prowadzenia rachunków bankowych z bankami powiązanymi ze Skarbem Państwa.</t>
  </si>
  <si>
    <t>- Zakupy w okresie</t>
  </si>
  <si>
    <t>22,9 19,8</t>
  </si>
  <si>
    <t>- Saldo zobowiązań na koniec okresu</t>
  </si>
  <si>
    <t>0,6 2,8</t>
  </si>
  <si>
    <t>â€’ wynagrodzenia, usługi zarządzania * 3 732,2 3 901,9</t>
  </si>
  <si>
    <t>â€’ świadczenia i dochody z innych tytułów ** 1 381,2 32,2</t>
  </si>
  <si>
    <t>â€’ wynagrodzenie zmienne za 2023 rok*** n/d 385,6</t>
  </si>
  <si>
    <t>â€’ wynagrodzenie zmienne za 2024 rok **** 799,7 n/d</t>
  </si>
  <si>
    <t>** Pozycja ta obejmuje świadczenia z innych tytułów, w tym: wypłacone po wygaśnięciu umowy o świadczenie usług zarządzania, odprawę, odszkodowanie za powstrzymywanie się od działalności konkurencyjnej lub/oraz świadczenia pozostałe jak np. zwrot za najem mieszkania.</t>
  </si>
  <si>
    <t>*** Pozycja obejmuje wynagrodzenie zmienne za 2023 rok, które zostało wypłacone po dniu kończącym okres sprawozdawczy, tj. w dniu 15 stycznia 2025 roku Panu Arturowi Wojtków zgodnie z uchwałą Rady Nadzorczej JSW nr 418/XI/24 z dnia 27 grudnia 2024 roku. W związku z nieudzieleniem pozostałym Zarządzającym absolutorium z wykonania przez nich obowiązków Członków Zarządu zgodnie z decyzjami Nadzwyczajnego Walnego Zgromadzenia JSW z dnia 25 października 2024 roku nagroda nie została przyznana pozostałym Członkom Zarządu.</t>
  </si>
  <si>
    <t>**** Wynagrodzenie zmienne za 2024 rok obejmuje wartości szacunkowe przyjęte przez Radę Nadzorczą JSW po dniu kończącym okres sprawozdawczy, w dniu 26 marca 2025 roku. Wynagrodzenie zmienne za 2024 rok zostanie wypłacone pod warunkiem realizacji przez Zarządzających Celów Zarządczych zgodnie z uchwałą Rady Nadzorczej, po zatwierdzeniu Sprawozdania Zarządu z działalności Jastrzębskiej Spółki Węglowej S.A. oraz Grupy Kapitałowej Jastrzębskiej Spółki Węglowej S.A. za rok obrotowy zakończony 31 grudnia 2024 roku i Jednostkowego sprawozdania finansowego Jastrzębskiej Spółki Węglowej S.A. za rok obrotowy zakończony 31 grudnia 2024 roku i udzieleniu Zarządzającym absolutorium z wykonania przez nich obowiązków członków Zarządu przez Walne Zgromadzenie.</t>
  </si>
  <si>
    <t>Krótkoterminowe świadczenia pracownicze</t>
  </si>
  <si>
    <t>11,3 12,6</t>
  </si>
  <si>
    <t>Świadczenia z tytułu rozwiązania stosunku pracy (odprawy)</t>
  </si>
  <si>
    <t>1,2 -</t>
  </si>
  <si>
    <t>0,7 0,3</t>
  </si>
  <si>
    <t>- 0,1</t>
  </si>
  <si>
    <t>13,2 13,0</t>
  </si>
  <si>
    <t>Krótkoterminowe świadczenia</t>
  </si>
  <si>
    <t>2,8 2,6</t>
  </si>
  <si>
    <t>W 2024 i 2023 roku nie zostały udzielone żadne pożyczki Członkom Zarządu ani Członkom Rady Nadzorczej jednostek zależnych.</t>
  </si>
  <si>
    <t>Podmiotem uprawnionym do badania skonsolidowanego sprawozdania finansowego Grupy za rok obrotowy zakończony 31 grudnia 2024 roku jest PricewaterhouseCoopers Polska Sp. z o.o. Audyt Sp. k.(â€žPWCâ€ť). Wyboru firmy audytorskiej dokonała Rada Nadzorcza JSW w dniu 10 lutego 2023 roku.</t>
  </si>
  <si>
    <t>Badanie sprawozdań finansowych kluczowych spółek zależnych tj. JSW KOKS, JZR i PBSz za rok obrotowy zakończony 31 grudnia 2024 roku zostało przeprowadzone na podstawie odrębnych umów zawartych z PricewaterhouseCoopers Polska Sp. z o.o. Audyt Sp.k.</t>
  </si>
  <si>
    <t>Podmiotem uprawnionym do badania sprawozdania finansowego FIZ za rok obrotowy zakończony 31 grudnia 2024 roku jest PricewaterhouseCoopers Polska Sp. z o.o. Audyt Sp. k.</t>
  </si>
  <si>
    <t>Podmiotem uprawnionym do badania sprawozdań finansowych jednostek zależnych innych niż wymienione powyżej za rok obrotowy zakończony 31 grudnia 2024 roku jest Grupa Gumułka â€“ Audytor Sp. z o.o. z siedzibą w Katowicach.</t>
  </si>
  <si>
    <t>(w tys. PLN) (w tys. PLN)</t>
  </si>
  <si>
    <t>Wynagrodzenie biegłego rewidenta w odniesieniu do Jednostki dominującej</t>
  </si>
  <si>
    <t>1 016,5 598,0</t>
  </si>
  <si>
    <t>Obowiązkowe badanie</t>
  </si>
  <si>
    <t>421,0 421,0</t>
  </si>
  <si>
    <t>Przegląd śródrocznego sprawozdania finansowego</t>
  </si>
  <si>
    <t>118,0 118,0</t>
  </si>
  <si>
    <t>Atestacja sprawozdania zrównoważonego rozwoju</t>
  </si>
  <si>
    <t>415,0 -</t>
  </si>
  <si>
    <t>Pozostałe usługi*</t>
  </si>
  <si>
    <t>62,5 59,0</t>
  </si>
  <si>
    <t>Wynagrodzenie biegłego rewidenta w odniesieniu do jednostek zależnych</t>
  </si>
  <si>
    <t>643,8 659,4</t>
  </si>
  <si>
    <t>1 660,3 1 257,4</t>
  </si>
  <si>
    <t>* W 2024 i 2023 roku pozycja dotyczyła usługi sporządzenia raportów z weryfikacji wskaźników finansowych oraz oceny sprawozdania o wynagrodzeniach Zarządu i Rady Nadzorczej.</t>
  </si>
  <si>
    <t>Po dniu kończącym okres sprawozdawczy, tj. w dniu 29 stycznia 2025 roku Rada Nadzorcza JSW dokonała wyboru firmy PWC, jako firmy audytorskiej do przeprowadzenia badania sprawozdań finansowych JSW, Grupy oraz kluczowych spółek zależnych (tj. JSW KOKS, JZR, PBSz, JSW SiG oraz PGWiR) za lata 2025 â€“ 2027.</t>
  </si>
  <si>
    <t>W 2024 roku konflikt zbrojny w Ukrainie oraz sankcje nakładane na Rosję oddziaływały na sytuację makroekonomiczną w Europie i na świecie.</t>
  </si>
  <si>
    <t>Trudno szacować długookresowy wpływ wojny w Ukrainie na europejski i globalny rynek. W skali globalnej wojna na terytorium Ukrainy przekłada się na mniej stabilną sytuację gospodarczą, wzrost inflacji oraz wzrost stóp procentowych. Sankcje nałożone na Rosję po agresji na Ukrainę, skutkujące zakazem eksportu węgla do Europy, wpłynęły na reorganizację rynku i okresowy wzrost cen w 2022 roku, jednak obecnie wpływ cenotwórczy tych sankcji na notowania cen węgla koksowego znacząco osłabł. Grupa na bieżąco monitoruje sytuację gospodarczą w celu oceny jej potencjalnego negatywnego wpływu na Grupę i podjęcia działań mitygujących ten wpływ.</t>
  </si>
  <si>
    <t>Wojna w Ukrainie oprócz zagrożeń stwarza również szanse rynkowe dla działalności Grupy. Utrata samowystarczalności surowcowej przez Ukrainę otwiera nowe rynki dla Grupy, systematycznie realizowane są dostawy koksu, zrealizowano próbne dostawy węgla koksowego. Ukraina będzie potrzebować znacznej ilości węgla koksowego i stali, m.in. na odbudowę infrastruktury mieszkaniowej i społecznej zniszczonej w wyniku rosyjskiej inwazji.</t>
  </si>
  <si>
    <t>â–Ş W dniu 5 kwietnia 2024 roku w KWK Budryk w chodniku badawczym pokł. 405/1 doszło do pożaru endogenicznego. W dniu 11 kwietnia 2024 roku Zarząd JSW podjął uchwałę o wystąpieniu siły wyższej w JSW i poinformowaniu kontrahentów Grupy o jej wystąpieniu oraz konsekwencjach dla zobowiązań objętych działaniem siły wyższej. W wyniku dokonanych analiz, wpływ ww. zdarzenia na zmniejszenie poziomu produkcji w 2024 roku wyniósł 400 tys. ton.</t>
  </si>
  <si>
    <t>W 2024 roku Grupa poniosła koszty związane głównie z prowadzonymi akcjami ratowniczymi i usuwaniem skutków powyższego zdarzenia w KWK Budryk w łącznej wartości 45,1 mln PLN.</t>
  </si>
  <si>
    <t>â–Ş W dniu 11 kwietnia 2024 roku Zarząd JSW poinformował o aktualizacji szacunkowych analiz wpływu pożaru w KWK Pniówek z dnia 6 grudnia 2023 roku na poziom produkcji w 2024 roku. W związku z powyższym skutki zdarzenia w 2024 roku wyniosły 450 tys. ton zmniejszenia produkcji w KWK Pniówek. W wyniku powyższego zdarzenia w KWK Pniówek w 2024 roku Grupa poniosła koszty związane głównie z prowadzonymi akcjami ratowniczymi i usuwaniem skutków zdarzeń w łącznej wysokości 5,1 mln PLN.</t>
  </si>
  <si>
    <t>Po dniu 31 grudnia 2024 roku tj. po dniu kończącym okres sprawozdawczy, zgodnie z posiadaną wiedzą, nie wystąpiły inne niż wymienione poniżej, istotne zdarzenia mogące znacząco wpłynąć na ocenę sytuacji majątkowej, finansowej i wyniku finansowego, które nie byłyby uwzględnione w skonsolidowanym sprawozdaniu finansowym za rok obrotowy zakończony 31 grudnia 2024 roku:</t>
  </si>
  <si>
    <t>â–Ş W dniu 22 stycznia 2025 roku w kopalni Knurów-Szczygłowice Ruch Szczygłowice doszło do zapalenia metanu, w wyniku którego zaszła konieczność otamowania zagrożonego rejonu. W wyniku tego wydarzenia, w dniu 29 stycznia 2025 roku Zarząd JSW odjął uchwałę o wystąpieniu siły wyższej w JSW i poinformowaniu kontrahentów Grupy o jej wystąpieniu oraz jej konsekwencjach dla zobowiązań objętych działaniem siły wyższej. Grupa przewiduje utratę wolumenu produkcji w 2025 roku w wysokości ok. 800 tys. ton.</t>
  </si>
  <si>
    <t>â–Ş W dniu 26 marca 2025 roku Rada Nadzorcza JSW powierzyła Panu Adamowi Rozmusowi pełnienie obowiązków Zastępcy Prezesa Zarządu ds. Rozwoju od dnia 26 marca 2025 roku. Pan Adam Rozmus pozostaje również Zastępcą Prezesa Zarządu ds. Technicznych i Operacyjnych.</t>
  </si>
  <si>
    <t>Skonsolidowane sprawozdanie finansowe Grupy Kapitałowej Jastrzębskiej Spółki Węglowej S.A. za rok obrotowy zakończony 31 grudnia 2024 roku zostało przygotowane i będzie podane do publicznej wiadomości zgodnie z Rozporządzeniem Delegowanym Komisji 2019/815 z dnia 17 grudnia 2018 roku uzupełniającym dyrektywę 2004/109/WE Parlamentu Europejskiego i Rady w odniesieniu do regulacyjnych standardów technicznych dotyczących specyfikacji jednolitego elektronicznego formatu sprawozdawczego.</t>
  </si>
  <si>
    <t>Sprawozdanie Zarządu z działalności Jastrzębskiej Spółki Węglowej S.A. oraz Grupy Kapitałowej Jastrzębskiej Spółki Węglowej S.A. za rok obrotowy zakończony 31 grudnia 2024 roku zawiera prawdziwy obraz rozwoju i osiągnięć oraz sytuacji Grupy Kapitałowej Jastrzębskiej Spółki Węglowej S.A., w tym opis podstawowych zagrożeń i ryzyka.</t>
  </si>
  <si>
    <t>Niniejsze skonsolidowane sprawozdanie finansowe za rok obrotowy zakończony 31 grudnia 2024 roku zostało zatwierdzone do publikacji oraz podpisane przez Zarząd JSW dnia 7 kwietnia 2025 roku.</t>
  </si>
  <si>
    <t>Żądana nazwa arkusza</t>
  </si>
  <si>
    <t>Bilans</t>
  </si>
  <si>
    <t>Przepływy pieniężne</t>
  </si>
  <si>
    <t>Column1</t>
  </si>
  <si>
    <t>AKTYWA TRWAŁE</t>
  </si>
  <si>
    <t>RAZEM AKTYWA TRWAŁE</t>
  </si>
  <si>
    <t>KAPITAŁ WŁASNY</t>
  </si>
  <si>
    <t>UDZIAŁY NIEKONTROLUJĄCE</t>
  </si>
  <si>
    <t>RAZEM KAPITAŁ WŁASNY</t>
  </si>
  <si>
    <t>ZOBOWIĄZANIA DŁUGOTERMINOWE</t>
  </si>
  <si>
    <t>RAZEM ZOBOWIĄZANIA DŁUGOTERMINOWE</t>
  </si>
  <si>
    <t>RAZEM KAPITAŁ WŁASNY I ZOBOWIĄZANIA</t>
  </si>
  <si>
    <t>RZiS</t>
  </si>
  <si>
    <t>ZYSK/(STRATA) BRUTTO ZE SPRZEDAŻY</t>
  </si>
  <si>
    <t>Pozostałe przychody</t>
  </si>
  <si>
    <t>Utrata wartości niefinansowych aktywów trwałych</t>
  </si>
  <si>
    <t>Pozostałe zyski – netto</t>
  </si>
  <si>
    <t>ZYSK/(STRATA) PRZED OPODATKOWANIEM</t>
  </si>
  <si>
    <t>ZYSK/(STRATA) NETTO</t>
  </si>
  <si>
    <t>Inne całkowite dochody, które będą podlegały przeklasyfikowaniu do wyniku netto:</t>
  </si>
  <si>
    <t>Zmiana wartości instrumentów zabezpieczających</t>
  </si>
  <si>
    <t>Inne całkowite dochody, które nie będą podlegały przeklasyfikowaniu do wyniku
netto:</t>
  </si>
  <si>
    <t>Zyski/(straty) aktuarialne</t>
  </si>
  <si>
    <t>INNE CAŁKOWITE DOCHODY RAZEM</t>
  </si>
  <si>
    <t>CAŁKOWITE DOCHODY RAZEM</t>
  </si>
  <si>
    <t>- akcjonariuszy Jednostki dominującej</t>
  </si>
  <si>
    <t>- udziały niekontrolujące</t>
  </si>
  <si>
    <t>Podstawowy zysk/(strata) na akcję przypadający/(a) na akcjonariuszy Jednostki
dominującej (wyrażony/(a) w PLN na jedną akcję)</t>
  </si>
  <si>
    <t>Rozwodniony zysk/(strata) na akcję przypadający/(a) na akcjonariuszy Jednostki
dominującej (wyrażony/(a) w PLN na jedną akcję)</t>
  </si>
  <si>
    <t xml:space="preserve">Sprawdzenie wczytania bilansu </t>
  </si>
  <si>
    <t>Sprawdzenie wczytania RZiS</t>
  </si>
  <si>
    <t>PRZEPŁYWY PIENIĘŻNE Z DZIAŁALNOŚCI OPERACYJNEJ</t>
  </si>
  <si>
    <t>PRZEPŁYWY PIENIĘŻNE NETTO Z DZIAŁALNOŚCI OPERACYJNEJ</t>
  </si>
  <si>
    <t>PRZEPŁYWY PIENIĘŻNE Z DZIAŁALNOŚCI INWESTYCYJNEJ</t>
  </si>
  <si>
    <t>w tym: odsetki i prowizje zapłacone stanowiące aktywowane koszty finansowania
zewnętrznego</t>
  </si>
  <si>
    <t>PRZEPŁYWY PIENIĘŻNE NETTO Z DZIAŁALNOŚCI INWESTYCYJNEJ</t>
  </si>
  <si>
    <t>PRZEPŁYWY PIENIĘŻNE Z DZIAŁALNOŚCI FINANSOWEJ</t>
  </si>
  <si>
    <t>Transakcje z udziałami niekontrolującymi (zakup udziałów od udziałowców
niekontrolujących)</t>
  </si>
  <si>
    <t>PRZEPŁYWY PIENIĘŻNE NETTO Z DZIAŁALNOŚCI FINANSOWEJ</t>
  </si>
  <si>
    <t>ZMIANA NETTO STANU ŚRODKÓW PIENIĘŻNYCH I ICH EKWIWALENTÓW</t>
  </si>
  <si>
    <t>ŚRODKI PIENIĘŻNE I ICH EKWIWALENTY NA KONIEC OKRESU</t>
  </si>
  <si>
    <t>Nazwa</t>
  </si>
  <si>
    <t>Całkowite dochody przypadające na:</t>
  </si>
  <si>
    <t>Sprawdzenie wczytania Przepływy pieniężne</t>
  </si>
  <si>
    <t>Wpisz ścieżkę do pliku PDF w komórce A6</t>
  </si>
  <si>
    <t>WPISZ ŚCIEŻK Ę DO PLIKU TXT W KOMÓRKE A2</t>
  </si>
  <si>
    <t>C:\Users\julka\OneDrive\Pulpit\2023-2024_ skonsolidowane jsw.txt</t>
  </si>
  <si>
    <t>C:\Users\julka\OneDrive\Pulpit\JSW_2023_2024.pdf</t>
  </si>
  <si>
    <t>Diagnoza</t>
  </si>
  <si>
    <t>Rotacja zapasów</t>
  </si>
  <si>
    <t>Wskaźnik bieżącej wypłacalności</t>
  </si>
  <si>
    <t>Płynność gotówkowa</t>
  </si>
  <si>
    <t>Płynność szybka</t>
  </si>
  <si>
    <t>Płynność bieżąca</t>
  </si>
  <si>
    <t>Wskaźnik</t>
  </si>
  <si>
    <t>brak</t>
  </si>
  <si>
    <t>Powyżej dolnej granicy</t>
  </si>
  <si>
    <t>RAX</t>
  </si>
  <si>
    <t xml:space="preserve">Koszt własny sprzedaż  </t>
  </si>
  <si>
    <t>Średnia wartość zapasów * liczba dni odpowiadająca okresowi</t>
  </si>
  <si>
    <t>BIK</t>
  </si>
  <si>
    <t>Zobowiązania krótkoterminowe</t>
  </si>
  <si>
    <t>Środki pieniężne + należności krótkoterminowe</t>
  </si>
  <si>
    <t>Między granicami</t>
  </si>
  <si>
    <t>Pasywa bieżące</t>
  </si>
  <si>
    <t xml:space="preserve">Środki pieniężne </t>
  </si>
  <si>
    <t>aktywa obrotowe - zapasy</t>
  </si>
  <si>
    <t>Płynnośc szybka</t>
  </si>
  <si>
    <t>Aktywa obrotowe</t>
  </si>
  <si>
    <t>Górna granica</t>
  </si>
  <si>
    <t>Dolna granica</t>
  </si>
  <si>
    <t>Typ zleceń</t>
  </si>
  <si>
    <t>Źródło2</t>
  </si>
  <si>
    <t>Mianownik</t>
  </si>
  <si>
    <t>Źródło</t>
  </si>
  <si>
    <t>Licznik</t>
  </si>
  <si>
    <t>Nazwa wskaźnika</t>
  </si>
  <si>
    <t>Rok 2023</t>
  </si>
  <si>
    <t>Rok 2024</t>
  </si>
  <si>
    <t xml:space="preserve">ZAPASY RAZEM </t>
  </si>
  <si>
    <t xml:space="preserve">Średnia wartość zapasów </t>
  </si>
  <si>
    <t>Liczba dni odpowiadająca okresowi</t>
  </si>
  <si>
    <t>Dynamika 2023 - 2024</t>
  </si>
  <si>
    <t>Komórka początkowa</t>
  </si>
  <si>
    <t>Przesunięcie 1</t>
  </si>
  <si>
    <t>Przesunięcie 2</t>
  </si>
  <si>
    <t>Wartości 2024</t>
  </si>
  <si>
    <t>Wartości 2023</t>
  </si>
  <si>
    <t>Wartość poprawiona 2024</t>
  </si>
  <si>
    <t>Wartość poprawiona 2023</t>
  </si>
  <si>
    <t xml:space="preserve">1 245,3 </t>
  </si>
  <si>
    <t>1 108,1</t>
  </si>
  <si>
    <t>PASYWA BIEŻĄCE</t>
  </si>
  <si>
    <t>Firma</t>
  </si>
  <si>
    <t>PŁYNNOŚĆ BIEŻĄCA</t>
  </si>
  <si>
    <t>PŁYNNOŚC SZYBKA</t>
  </si>
  <si>
    <t>Pytanie</t>
  </si>
  <si>
    <t>Odpowiedź</t>
  </si>
  <si>
    <t>Interpretacja</t>
  </si>
  <si>
    <t>czy wskaźnik jest dodatni?</t>
  </si>
  <si>
    <t>czy mieści się w granicach ?</t>
  </si>
  <si>
    <t xml:space="preserve"> PORÓWNANIE WSKAŹNIKÓW PŁYNNOŚCI STATYCZNEJ </t>
  </si>
  <si>
    <t>LW Bogdanka S.A.</t>
  </si>
  <si>
    <t>Jastrzębska Spółka Węglowa</t>
  </si>
  <si>
    <t>KGHM Polska Miedź S.A.</t>
  </si>
  <si>
    <t>Dynamika 2023-2024</t>
  </si>
  <si>
    <t>PŁYNNOŚĆ GOTÓWKOWA</t>
  </si>
  <si>
    <t>WSKAŹNIK BIEŻĄCEJ WYPŁACALNOŚCI</t>
  </si>
  <si>
    <t>ROTACJA ZAPASÓW</t>
  </si>
  <si>
    <t>LW Bogdanka S.A</t>
  </si>
  <si>
    <t>2023/2024</t>
  </si>
  <si>
    <t>Odpowiedź dynamiki 2023-2024</t>
  </si>
  <si>
    <t>Wskaźnik bieżącej wypłacalnośco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</si>
</sst>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font>
      <sz val="11"/>
      <color theme="1"/>
      <name val="Calibri"/>
      <family val="2"/>
      <charset val="238"/>
      <scheme val="minor"/>
    </font>
    <font>
      <sz val="11"/>
      <color rgb="FFFF0000"/>
      <name val="Calibri"/>
      <family val="2"/>
      <charset val="238"/>
      <scheme val="minor"/>
    </font>
    <font>
      <sz val="11"/>
      <color rgb="FF000000"/>
      <name val="Calibri"/>
      <family val="2"/>
      <charset val="238"/>
    </font>
    <font>
      <sz val="8"/>
      <name val="Calibri"/>
      <family val="2"/>
      <charset val="238"/>
      <scheme val="minor"/>
    </font>
    <font>
      <b/>
      <sz val="11"/>
      <color indexed="10"/>
      <name val="Czcionka tekstu podstawowego"/>
      <charset val="238"/>
    </font>
    <font>
      <sz val="11"/>
      <color theme="1"/>
      <name val="Calibri"/>
      <family val="2"/>
      <charset val="238"/>
      <scheme val="minor"/>
    </font>
    <font>
      <sz val="11"/>
      <color theme="1"/>
      <name val="Calibri"/>
      <family val="2"/>
      <charset val="238"/>
    </font>
    <font>
      <sz val="11"/>
      <color theme="1"/>
      <name val="Czcionka tekstu podstawowego"/>
      <family val="2"/>
      <charset val="238"/>
    </font>
    <font>
      <b/>
      <sz val="14"/>
      <color theme="1"/>
      <name val="Czcionka tekstu podstawowego"/>
      <family val="2"/>
      <charset val="238"/>
    </font>
    <font>
      <b/>
      <sz val="12"/>
      <color theme="1"/>
      <name val="Czcionka tekstu podstawowego"/>
      <family val="2"/>
      <charset val="238"/>
    </font>
    <font>
      <b/>
      <sz val="12"/>
      <name val="Arial"/>
      <family val="2"/>
      <charset val="238"/>
    </font>
    <font>
      <b/>
      <sz val="12"/>
      <name val="Czcionka tekstu podstawowego"/>
      <family val="2"/>
      <charset val="238"/>
    </font>
    <font>
      <sz val="14"/>
      <name val="Calibri"/>
      <family val="2"/>
      <charset val="238"/>
      <scheme val="minor"/>
    </font>
    <font>
      <sz val="12"/>
      <color theme="1"/>
      <name val="Calibri"/>
      <family val="2"/>
      <charset val="238"/>
      <scheme val="minor"/>
    </font>
    <font>
      <b/>
      <sz val="36"/>
      <color theme="1"/>
      <name val="Arial"/>
      <family val="2"/>
    </font>
    <font>
      <sz val="20"/>
      <color theme="1"/>
      <name val="Arial"/>
      <family val="2"/>
    </font>
    <font>
      <b/>
      <sz val="20"/>
      <color theme="1"/>
      <name val="Arial"/>
      <family val="2"/>
    </font>
    <font>
      <b/>
      <sz val="18"/>
      <color theme="1"/>
      <name val="Arial"/>
      <family val="2"/>
    </font>
    <font>
      <b/>
      <sz val="16"/>
      <color theme="1"/>
      <name val="Arial"/>
      <family val="2"/>
    </font>
    <font>
      <b/>
      <sz val="14"/>
      <color theme="1"/>
      <name val="Arial"/>
      <family val="2"/>
    </font>
    <font>
      <sz val="14"/>
      <color theme="1"/>
      <name val="Arial"/>
      <family val="2"/>
    </font>
    <font>
      <sz val="14"/>
      <color theme="1"/>
      <name val="Calibri"/>
      <family val="2"/>
      <charset val="238"/>
      <scheme val="minor"/>
    </font>
    <font>
      <sz val="14"/>
      <color rgb="FF000000"/>
      <name val="Calibri"/>
      <family val="2"/>
      <charset val="238"/>
      <scheme val="minor"/>
    </font>
  </fonts>
  <fills count="13">
    <fill>
      <patternFill patternType="none"/>
    </fill>
    <fill>
      <patternFill patternType="gray125"/>
    </fill>
    <fill>
      <patternFill patternType="solid">
        <fgColor theme="4"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rgb="FFFFFFCC"/>
        <bgColor indexed="64"/>
      </patternFill>
    </fill>
    <fill>
      <patternFill patternType="solid">
        <fgColor rgb="FFFFFF99"/>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C4C1FB"/>
        <bgColor indexed="64"/>
      </patternFill>
    </fill>
    <fill>
      <patternFill patternType="solid">
        <fgColor rgb="FFE6E8FE"/>
        <bgColor indexed="64"/>
      </patternFill>
    </fill>
    <fill>
      <patternFill patternType="solid">
        <fgColor theme="4" tint="0.59999389629810485"/>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style="medium">
        <color theme="1"/>
      </left>
      <right/>
      <top/>
      <bottom style="medium">
        <color indexed="64"/>
      </bottom>
      <diagonal/>
    </border>
    <border>
      <left/>
      <right/>
      <top/>
      <bottom style="medium">
        <color indexed="64"/>
      </bottom>
      <diagonal/>
    </border>
    <border>
      <left/>
      <right style="medium">
        <color theme="1"/>
      </right>
      <top/>
      <bottom style="medium">
        <color indexed="64"/>
      </bottom>
      <diagonal/>
    </border>
    <border>
      <left style="medium">
        <color theme="1"/>
      </left>
      <right style="medium">
        <color indexed="64"/>
      </right>
      <top style="medium">
        <color indexed="64"/>
      </top>
      <bottom style="medium">
        <color indexed="64"/>
      </bottom>
      <diagonal/>
    </border>
    <border>
      <left style="medium">
        <color theme="1"/>
      </left>
      <right style="medium">
        <color indexed="64"/>
      </right>
      <top style="medium">
        <color indexed="64"/>
      </top>
      <bottom/>
      <diagonal/>
    </border>
    <border>
      <left style="medium">
        <color theme="1"/>
      </left>
      <right style="medium">
        <color indexed="64"/>
      </right>
      <top/>
      <bottom/>
      <diagonal/>
    </border>
    <border>
      <left style="medium">
        <color theme="1"/>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theme="1"/>
      </left>
      <right/>
      <top/>
      <bottom style="medium">
        <color theme="1"/>
      </bottom>
      <diagonal/>
    </border>
    <border>
      <left style="medium">
        <color indexed="64"/>
      </left>
      <right style="thin">
        <color indexed="64"/>
      </right>
      <top style="medium">
        <color indexed="64"/>
      </top>
      <bottom style="medium">
        <color theme="1"/>
      </bottom>
      <diagonal/>
    </border>
    <border>
      <left/>
      <right style="thin">
        <color indexed="64"/>
      </right>
      <top style="medium">
        <color indexed="64"/>
      </top>
      <bottom style="medium">
        <color theme="1"/>
      </bottom>
      <diagonal/>
    </border>
    <border>
      <left/>
      <right style="medium">
        <color indexed="64"/>
      </right>
      <top style="medium">
        <color indexed="64"/>
      </top>
      <bottom style="medium">
        <color theme="1"/>
      </bottom>
      <diagonal/>
    </border>
    <border>
      <left style="medium">
        <color indexed="64"/>
      </left>
      <right/>
      <top style="medium">
        <color theme="1"/>
      </top>
      <bottom/>
      <diagonal/>
    </border>
    <border>
      <left style="medium">
        <color theme="1"/>
      </left>
      <right style="medium">
        <color theme="1"/>
      </right>
      <top style="medium">
        <color theme="1"/>
      </top>
      <bottom style="medium">
        <color theme="1"/>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top/>
      <bottom style="medium">
        <color indexed="64"/>
      </bottom>
      <diagonal/>
    </border>
    <border>
      <left style="medium">
        <color theme="1"/>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theme="1"/>
      </top>
      <bottom/>
      <diagonal/>
    </border>
    <border>
      <left style="medium">
        <color theme="1"/>
      </left>
      <right style="thin">
        <color indexed="64"/>
      </right>
      <top/>
      <bottom style="thin">
        <color indexed="64"/>
      </bottom>
      <diagonal/>
    </border>
    <border>
      <left style="medium">
        <color rgb="FF000000"/>
      </left>
      <right style="thin">
        <color indexed="64"/>
      </right>
      <top/>
      <bottom style="thin">
        <color indexed="64"/>
      </bottom>
      <diagonal/>
    </border>
    <border>
      <left style="thin">
        <color indexed="64"/>
      </left>
      <right style="medium">
        <color indexed="64"/>
      </right>
      <top/>
      <bottom/>
      <diagonal/>
    </border>
    <border>
      <left style="medium">
        <color theme="1"/>
      </left>
      <right style="thin">
        <color indexed="64"/>
      </right>
      <top style="medium">
        <color indexed="64"/>
      </top>
      <bottom style="medium">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theme="1"/>
      </left>
      <right/>
      <top style="medium">
        <color indexed="64"/>
      </top>
      <bottom/>
      <diagonal/>
    </border>
  </borders>
  <cellStyleXfs count="6">
    <xf numFmtId="0" fontId="0" fillId="0" borderId="0"/>
    <xf numFmtId="9" fontId="5" fillId="0" borderId="0" applyFont="0" applyFill="0" applyBorder="0" applyAlignment="0" applyProtection="0"/>
    <xf numFmtId="0" fontId="7" fillId="0" borderId="0"/>
    <xf numFmtId="9" fontId="7" fillId="0" borderId="0" applyFont="0" applyFill="0" applyBorder="0" applyAlignment="0" applyProtection="0"/>
    <xf numFmtId="0" fontId="13" fillId="0" borderId="0"/>
    <xf numFmtId="9" fontId="13" fillId="0" borderId="0" applyFont="0" applyFill="0" applyBorder="0" applyAlignment="0" applyProtection="0"/>
  </cellStyleXfs>
  <cellXfs count="112">
    <xf numFmtId="0" fontId="0" fillId="0" borderId="0" xfId="0"/>
    <xf numFmtId="9" fontId="0" fillId="0" borderId="0" xfId="0" applyNumberFormat="1"/>
    <xf numFmtId="0" fontId="1" fillId="0" borderId="0" xfId="0" applyFon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2" borderId="1" xfId="0" applyFill="1" applyBorder="1"/>
    <xf numFmtId="0" fontId="0" fillId="2" borderId="2" xfId="0" applyFill="1" applyBorder="1"/>
    <xf numFmtId="0" fontId="0" fillId="2" borderId="3" xfId="0" applyFill="1" applyBorder="1"/>
    <xf numFmtId="0" fontId="4" fillId="0" borderId="0" xfId="0" applyFont="1" applyAlignment="1">
      <alignment horizontal="center" vertical="center"/>
    </xf>
    <xf numFmtId="0" fontId="0" fillId="0" borderId="0" xfId="0" applyAlignment="1">
      <alignment vertical="center" wrapText="1"/>
    </xf>
    <xf numFmtId="0" fontId="0" fillId="3" borderId="9" xfId="0" applyFill="1" applyBorder="1"/>
    <xf numFmtId="0" fontId="1" fillId="0" borderId="9" xfId="0" applyFont="1" applyBorder="1"/>
    <xf numFmtId="0" fontId="1" fillId="0" borderId="6" xfId="0" applyFont="1" applyBorder="1"/>
    <xf numFmtId="0" fontId="1" fillId="0" borderId="8" xfId="0" applyFont="1" applyBorder="1"/>
    <xf numFmtId="0" fontId="0" fillId="4" borderId="10" xfId="0" applyFill="1" applyBorder="1"/>
    <xf numFmtId="0" fontId="0" fillId="4" borderId="11" xfId="0" applyFill="1" applyBorder="1"/>
    <xf numFmtId="0" fontId="5" fillId="0" borderId="0" xfId="0" applyFont="1"/>
    <xf numFmtId="0" fontId="6" fillId="0" borderId="0" xfId="0" applyFont="1" applyAlignment="1">
      <alignment horizontal="center"/>
    </xf>
    <xf numFmtId="0" fontId="8" fillId="0" borderId="0" xfId="2" applyFont="1"/>
    <xf numFmtId="0" fontId="9" fillId="0" borderId="0" xfId="2" applyFont="1"/>
    <xf numFmtId="0" fontId="9" fillId="2" borderId="10" xfId="2" applyFont="1" applyFill="1" applyBorder="1" applyAlignment="1">
      <alignment vertical="center" wrapText="1"/>
    </xf>
    <xf numFmtId="0" fontId="9" fillId="2" borderId="11" xfId="2" applyFont="1" applyFill="1" applyBorder="1" applyAlignment="1">
      <alignment vertical="center"/>
    </xf>
    <xf numFmtId="0" fontId="9" fillId="2" borderId="11" xfId="2" applyFont="1" applyFill="1" applyBorder="1" applyAlignment="1">
      <alignment horizontal="left" vertical="center"/>
    </xf>
    <xf numFmtId="0" fontId="9" fillId="0" borderId="6" xfId="2" applyFont="1" applyBorder="1" applyAlignment="1">
      <alignment horizontal="center" vertical="center"/>
    </xf>
    <xf numFmtId="0" fontId="9" fillId="0" borderId="8" xfId="2" applyFont="1" applyBorder="1" applyAlignment="1">
      <alignment horizontal="center" vertical="center" wrapText="1"/>
    </xf>
    <xf numFmtId="0" fontId="9" fillId="0" borderId="6" xfId="2" applyFont="1" applyBorder="1" applyAlignment="1">
      <alignment horizontal="center"/>
    </xf>
    <xf numFmtId="0" fontId="10" fillId="0" borderId="0" xfId="2" applyFont="1"/>
    <xf numFmtId="9" fontId="9" fillId="5" borderId="12" xfId="3" applyFont="1" applyFill="1" applyBorder="1" applyAlignment="1">
      <alignment horizontal="right" vertical="center"/>
    </xf>
    <xf numFmtId="2" fontId="9" fillId="5" borderId="12" xfId="2" applyNumberFormat="1" applyFont="1" applyFill="1" applyBorder="1" applyAlignment="1">
      <alignment horizontal="right" vertical="center"/>
    </xf>
    <xf numFmtId="0" fontId="9" fillId="5" borderId="3" xfId="2" applyFont="1" applyFill="1" applyBorder="1" applyAlignment="1">
      <alignment vertical="center"/>
    </xf>
    <xf numFmtId="9" fontId="9" fillId="5" borderId="9" xfId="3" applyFont="1" applyFill="1" applyBorder="1" applyAlignment="1">
      <alignment horizontal="right" vertical="center"/>
    </xf>
    <xf numFmtId="2" fontId="9" fillId="5" borderId="9" xfId="2" applyNumberFormat="1" applyFont="1" applyFill="1" applyBorder="1" applyAlignment="1">
      <alignment horizontal="right" vertical="center"/>
    </xf>
    <xf numFmtId="0" fontId="9" fillId="5" borderId="11" xfId="2" applyFont="1" applyFill="1" applyBorder="1" applyAlignment="1">
      <alignment vertical="center"/>
    </xf>
    <xf numFmtId="0" fontId="11" fillId="5" borderId="11" xfId="2" applyFont="1" applyFill="1" applyBorder="1" applyAlignment="1">
      <alignment vertical="center"/>
    </xf>
    <xf numFmtId="0" fontId="11" fillId="6" borderId="13" xfId="2" applyFont="1" applyFill="1" applyBorder="1" applyAlignment="1">
      <alignment vertical="center"/>
    </xf>
    <xf numFmtId="0" fontId="11" fillId="6" borderId="8" xfId="2" applyFont="1" applyFill="1" applyBorder="1" applyAlignment="1">
      <alignment vertical="center"/>
    </xf>
    <xf numFmtId="0" fontId="9" fillId="5" borderId="9" xfId="2" applyFont="1" applyFill="1" applyBorder="1" applyAlignment="1">
      <alignment horizontal="center" vertical="center" wrapText="1"/>
    </xf>
    <xf numFmtId="0" fontId="11" fillId="6" borderId="9" xfId="2" applyFont="1" applyFill="1" applyBorder="1" applyAlignment="1">
      <alignment horizontal="center" vertical="center" wrapText="1"/>
    </xf>
    <xf numFmtId="0" fontId="9" fillId="7" borderId="9" xfId="2" applyFont="1" applyFill="1" applyBorder="1" applyAlignment="1">
      <alignment horizontal="center" vertical="center" wrapText="1"/>
    </xf>
    <xf numFmtId="0" fontId="11" fillId="8" borderId="4" xfId="2" applyFont="1" applyFill="1" applyBorder="1" applyAlignment="1">
      <alignment horizontal="center"/>
    </xf>
    <xf numFmtId="0" fontId="12" fillId="8" borderId="0" xfId="0" applyFont="1" applyFill="1" applyAlignment="1">
      <alignment horizontal="center"/>
    </xf>
    <xf numFmtId="0" fontId="12" fillId="8" borderId="4" xfId="0" applyFont="1" applyFill="1" applyBorder="1" applyAlignment="1">
      <alignment horizontal="center"/>
    </xf>
    <xf numFmtId="9" fontId="9" fillId="7" borderId="9" xfId="1" applyFont="1" applyFill="1" applyBorder="1" applyAlignment="1">
      <alignment horizontal="center" vertical="center" wrapText="1"/>
    </xf>
    <xf numFmtId="0" fontId="13" fillId="0" borderId="0" xfId="4" applyAlignment="1">
      <alignment horizontal="center"/>
    </xf>
    <xf numFmtId="0" fontId="13" fillId="0" borderId="0" xfId="4"/>
    <xf numFmtId="0" fontId="15" fillId="0" borderId="0" xfId="4" applyFont="1"/>
    <xf numFmtId="0" fontId="14" fillId="0" borderId="0" xfId="4" applyFont="1" applyAlignment="1">
      <alignment horizontal="center" vertical="center"/>
    </xf>
    <xf numFmtId="0" fontId="18" fillId="10" borderId="21" xfId="4" applyFont="1" applyFill="1" applyBorder="1" applyAlignment="1">
      <alignment horizontal="center" vertical="center" wrapText="1"/>
    </xf>
    <xf numFmtId="2" fontId="20" fillId="11" borderId="9" xfId="4" applyNumberFormat="1" applyFont="1" applyFill="1" applyBorder="1" applyAlignment="1">
      <alignment vertical="center"/>
    </xf>
    <xf numFmtId="2" fontId="20" fillId="11" borderId="13" xfId="4" applyNumberFormat="1" applyFont="1" applyFill="1" applyBorder="1" applyAlignment="1">
      <alignment vertical="center"/>
    </xf>
    <xf numFmtId="0" fontId="17" fillId="10" borderId="25" xfId="4" applyFont="1" applyFill="1" applyBorder="1" applyAlignment="1">
      <alignment horizontal="center" vertical="center" wrapText="1"/>
    </xf>
    <xf numFmtId="0" fontId="17" fillId="10" borderId="49" xfId="4" applyFont="1" applyFill="1" applyBorder="1" applyAlignment="1">
      <alignment horizontal="center" vertical="center" wrapText="1"/>
    </xf>
    <xf numFmtId="0" fontId="17" fillId="10" borderId="50" xfId="4" applyFont="1" applyFill="1" applyBorder="1" applyAlignment="1">
      <alignment horizontal="center" vertical="center" wrapText="1"/>
    </xf>
    <xf numFmtId="0" fontId="20" fillId="11" borderId="8" xfId="4" applyFont="1" applyFill="1" applyBorder="1" applyAlignment="1">
      <alignment vertical="center"/>
    </xf>
    <xf numFmtId="0" fontId="19" fillId="11" borderId="52" xfId="4" applyFont="1" applyFill="1" applyBorder="1" applyAlignment="1">
      <alignment vertical="center"/>
    </xf>
    <xf numFmtId="2" fontId="20" fillId="11" borderId="53" xfId="4" applyNumberFormat="1" applyFont="1" applyFill="1" applyBorder="1" applyAlignment="1">
      <alignment vertical="center"/>
    </xf>
    <xf numFmtId="2" fontId="20" fillId="11" borderId="54" xfId="4" applyNumberFormat="1" applyFont="1" applyFill="1" applyBorder="1" applyAlignment="1">
      <alignment vertical="center"/>
    </xf>
    <xf numFmtId="0" fontId="20" fillId="11" borderId="3" xfId="4" applyFont="1" applyFill="1" applyBorder="1" applyAlignment="1">
      <alignment vertical="center"/>
    </xf>
    <xf numFmtId="0" fontId="20" fillId="11" borderId="9" xfId="4" applyFont="1" applyFill="1" applyBorder="1" applyAlignment="1">
      <alignment vertical="center"/>
    </xf>
    <xf numFmtId="0" fontId="20" fillId="11" borderId="13" xfId="4" applyFont="1" applyFill="1" applyBorder="1" applyAlignment="1">
      <alignment vertical="center"/>
    </xf>
    <xf numFmtId="0" fontId="19" fillId="11" borderId="54" xfId="4" applyFont="1" applyFill="1" applyBorder="1" applyAlignment="1">
      <alignment vertical="center"/>
    </xf>
    <xf numFmtId="0" fontId="15" fillId="0" borderId="0" xfId="4" applyFont="1" applyAlignment="1">
      <alignment horizontal="center"/>
    </xf>
    <xf numFmtId="0" fontId="20" fillId="0" borderId="0" xfId="4" applyFont="1" applyAlignment="1">
      <alignment horizontal="center"/>
    </xf>
    <xf numFmtId="0" fontId="20" fillId="0" borderId="0" xfId="4" applyFont="1"/>
    <xf numFmtId="0" fontId="19" fillId="9" borderId="28" xfId="4" applyFont="1" applyFill="1" applyBorder="1" applyAlignment="1">
      <alignment horizontal="center" vertical="center" wrapText="1"/>
    </xf>
    <xf numFmtId="0" fontId="19" fillId="9" borderId="29" xfId="4" applyFont="1" applyFill="1" applyBorder="1" applyAlignment="1">
      <alignment horizontal="center" vertical="center" wrapText="1"/>
    </xf>
    <xf numFmtId="0" fontId="19" fillId="0" borderId="31" xfId="4" applyFont="1" applyBorder="1" applyAlignment="1">
      <alignment horizontal="left" vertical="center" wrapText="1"/>
    </xf>
    <xf numFmtId="0" fontId="21" fillId="0" borderId="11" xfId="4" applyFont="1" applyBorder="1" applyAlignment="1">
      <alignment horizontal="center" vertical="center"/>
    </xf>
    <xf numFmtId="0" fontId="21" fillId="0" borderId="32" xfId="4" applyFont="1" applyBorder="1" applyAlignment="1">
      <alignment horizontal="center" vertical="center"/>
    </xf>
    <xf numFmtId="0" fontId="19" fillId="0" borderId="34" xfId="4" applyFont="1" applyBorder="1" applyAlignment="1">
      <alignment horizontal="left" vertical="center" wrapText="1"/>
    </xf>
    <xf numFmtId="0" fontId="21" fillId="0" borderId="35" xfId="4" applyFont="1" applyBorder="1" applyAlignment="1">
      <alignment horizontal="center" vertical="center"/>
    </xf>
    <xf numFmtId="0" fontId="19" fillId="0" borderId="34" xfId="4" applyFont="1" applyBorder="1" applyAlignment="1">
      <alignment horizontal="center" vertical="center" wrapText="1"/>
    </xf>
    <xf numFmtId="9" fontId="21" fillId="0" borderId="35" xfId="4" applyNumberFormat="1" applyFont="1" applyBorder="1" applyAlignment="1">
      <alignment horizontal="center" vertical="center"/>
    </xf>
    <xf numFmtId="0" fontId="21" fillId="0" borderId="40" xfId="4" applyFont="1" applyBorder="1" applyAlignment="1">
      <alignment horizontal="center" vertical="center"/>
    </xf>
    <xf numFmtId="0" fontId="22" fillId="0" borderId="41" xfId="4" applyFont="1" applyBorder="1" applyAlignment="1">
      <alignment horizontal="center" vertical="center"/>
    </xf>
    <xf numFmtId="0" fontId="21" fillId="0" borderId="42" xfId="4" applyFont="1" applyBorder="1" applyAlignment="1">
      <alignment horizontal="center" vertical="center"/>
    </xf>
    <xf numFmtId="0" fontId="19" fillId="9" borderId="43" xfId="4" applyFont="1" applyFill="1" applyBorder="1" applyAlignment="1">
      <alignment horizontal="center" vertical="center" wrapText="1"/>
    </xf>
    <xf numFmtId="0" fontId="19" fillId="12" borderId="27" xfId="4" applyFont="1" applyFill="1" applyBorder="1" applyAlignment="1">
      <alignment horizontal="center" vertical="center" wrapText="1"/>
    </xf>
    <xf numFmtId="0" fontId="13" fillId="0" borderId="0" xfId="4" applyAlignment="1">
      <alignment horizontal="center"/>
    </xf>
    <xf numFmtId="0" fontId="17" fillId="10" borderId="48" xfId="4" applyFont="1" applyFill="1" applyBorder="1" applyAlignment="1">
      <alignment horizontal="center" vertical="center" wrapText="1"/>
    </xf>
    <xf numFmtId="0" fontId="17" fillId="10" borderId="51" xfId="4" applyFont="1" applyFill="1" applyBorder="1" applyAlignment="1">
      <alignment horizontal="center" vertical="center" wrapText="1"/>
    </xf>
    <xf numFmtId="0" fontId="18" fillId="10" borderId="22" xfId="4" applyFont="1" applyFill="1" applyBorder="1" applyAlignment="1">
      <alignment horizontal="center" vertical="center" wrapText="1"/>
    </xf>
    <xf numFmtId="0" fontId="18" fillId="10" borderId="23" xfId="4" applyFont="1" applyFill="1" applyBorder="1" applyAlignment="1">
      <alignment horizontal="center" vertical="center" wrapText="1"/>
    </xf>
    <xf numFmtId="0" fontId="18" fillId="10" borderId="24" xfId="4" applyFont="1" applyFill="1" applyBorder="1" applyAlignment="1">
      <alignment horizontal="center" vertical="center" wrapText="1"/>
    </xf>
    <xf numFmtId="0" fontId="18" fillId="10" borderId="55" xfId="4" applyFont="1" applyFill="1" applyBorder="1" applyAlignment="1">
      <alignment horizontal="center" vertical="center" wrapText="1"/>
    </xf>
    <xf numFmtId="0" fontId="18" fillId="10" borderId="17" xfId="4" applyFont="1" applyFill="1" applyBorder="1" applyAlignment="1">
      <alignment horizontal="center" vertical="center" wrapText="1"/>
    </xf>
    <xf numFmtId="0" fontId="18" fillId="10" borderId="18" xfId="4" applyFont="1" applyFill="1" applyBorder="1" applyAlignment="1">
      <alignment horizontal="center" vertical="center" wrapText="1"/>
    </xf>
    <xf numFmtId="0" fontId="19" fillId="0" borderId="39" xfId="4" applyFont="1" applyBorder="1" applyAlignment="1">
      <alignment horizontal="center" vertical="center" wrapText="1"/>
    </xf>
    <xf numFmtId="0" fontId="19" fillId="0" borderId="37" xfId="4" applyFont="1" applyBorder="1" applyAlignment="1">
      <alignment horizontal="center" vertical="center" wrapText="1"/>
    </xf>
    <xf numFmtId="0" fontId="19" fillId="0" borderId="38" xfId="4" applyFont="1" applyBorder="1" applyAlignment="1">
      <alignment horizontal="center" vertical="center" wrapText="1"/>
    </xf>
    <xf numFmtId="0" fontId="16" fillId="10" borderId="44" xfId="4" applyFont="1" applyFill="1" applyBorder="1" applyAlignment="1">
      <alignment horizontal="center" vertical="center"/>
    </xf>
    <xf numFmtId="0" fontId="16" fillId="10" borderId="45" xfId="4" applyFont="1" applyFill="1" applyBorder="1" applyAlignment="1">
      <alignment horizontal="center" vertical="center"/>
    </xf>
    <xf numFmtId="0" fontId="16" fillId="10" borderId="46" xfId="4" applyFont="1" applyFill="1" applyBorder="1" applyAlignment="1">
      <alignment horizontal="center" vertical="center"/>
    </xf>
    <xf numFmtId="0" fontId="16" fillId="10" borderId="36" xfId="4" applyFont="1" applyFill="1" applyBorder="1" applyAlignment="1">
      <alignment horizontal="center" vertical="center"/>
    </xf>
    <xf numFmtId="0" fontId="16" fillId="10" borderId="0" xfId="4" applyFont="1" applyFill="1" applyAlignment="1">
      <alignment horizontal="center" vertical="center"/>
    </xf>
    <xf numFmtId="0" fontId="16" fillId="10" borderId="47" xfId="4" applyFont="1" applyFill="1" applyBorder="1" applyAlignment="1">
      <alignment horizontal="center" vertical="center"/>
    </xf>
    <xf numFmtId="0" fontId="16" fillId="10" borderId="34" xfId="4" applyFont="1" applyFill="1" applyBorder="1" applyAlignment="1">
      <alignment horizontal="center" vertical="center"/>
    </xf>
    <xf numFmtId="0" fontId="16" fillId="10" borderId="19" xfId="4" applyFont="1" applyFill="1" applyBorder="1" applyAlignment="1">
      <alignment horizontal="center" vertical="center"/>
    </xf>
    <xf numFmtId="0" fontId="19" fillId="0" borderId="30" xfId="4" applyFont="1" applyBorder="1" applyAlignment="1">
      <alignment horizontal="center" vertical="center" wrapText="1"/>
    </xf>
    <xf numFmtId="0" fontId="19" fillId="0" borderId="34" xfId="4" applyFont="1" applyBorder="1" applyAlignment="1">
      <alignment horizontal="center" vertical="center" wrapText="1"/>
    </xf>
    <xf numFmtId="0" fontId="19" fillId="12" borderId="38" xfId="4" applyFont="1" applyFill="1" applyBorder="1" applyAlignment="1">
      <alignment horizontal="center" vertical="center" wrapText="1"/>
    </xf>
    <xf numFmtId="0" fontId="19" fillId="12" borderId="33" xfId="4" applyFont="1" applyFill="1" applyBorder="1" applyAlignment="1">
      <alignment horizontal="center" vertical="center" wrapText="1"/>
    </xf>
    <xf numFmtId="0" fontId="18" fillId="10" borderId="26" xfId="4" applyFont="1" applyFill="1" applyBorder="1" applyAlignment="1">
      <alignment horizontal="center" vertical="center" wrapText="1"/>
    </xf>
    <xf numFmtId="0" fontId="19" fillId="0" borderId="14" xfId="4" applyFont="1" applyBorder="1" applyAlignment="1">
      <alignment horizontal="center" vertical="center"/>
    </xf>
    <xf numFmtId="0" fontId="19" fillId="0" borderId="15" xfId="4" applyFont="1" applyBorder="1" applyAlignment="1">
      <alignment horizontal="center" vertical="center"/>
    </xf>
    <xf numFmtId="0" fontId="19" fillId="0" borderId="16" xfId="4" applyFont="1" applyBorder="1" applyAlignment="1">
      <alignment horizontal="center" vertical="center"/>
    </xf>
    <xf numFmtId="0" fontId="19" fillId="0" borderId="18" xfId="4" applyFont="1" applyBorder="1" applyAlignment="1">
      <alignment horizontal="center" vertical="center"/>
    </xf>
    <xf numFmtId="0" fontId="19" fillId="0" borderId="19" xfId="4" applyFont="1" applyBorder="1" applyAlignment="1">
      <alignment horizontal="center" vertical="center"/>
    </xf>
    <xf numFmtId="0" fontId="19" fillId="0" borderId="20" xfId="4" applyFont="1" applyBorder="1" applyAlignment="1">
      <alignment horizontal="center" vertical="center"/>
    </xf>
  </cellXfs>
  <cellStyles count="6">
    <cellStyle name="Normalny" xfId="0" builtinId="0"/>
    <cellStyle name="Normalny 2" xfId="2" xr:uid="{2F6658D4-7B20-4B90-8C67-00484D70542F}"/>
    <cellStyle name="Normalny 2 2" xfId="4" xr:uid="{E9A971CE-4619-46A0-8324-E519A95286DF}"/>
    <cellStyle name="Procentowy" xfId="1" builtinId="5"/>
    <cellStyle name="Procentowy 2" xfId="3" xr:uid="{BF23B346-8D32-4243-92A2-7A023860827E}"/>
    <cellStyle name="Procentowy 2 2" xfId="5" xr:uid="{D635180C-2900-4ABC-82D4-B5FDBF74BDA8}"/>
  </cellStyles>
  <dxfs count="75">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2"/>
        <color theme="1"/>
        <name val="Czcionka tekstu podstawowego"/>
        <family val="2"/>
        <charset val="238"/>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zcionka tekstu podstawowego"/>
        <family val="2"/>
        <charset val="238"/>
        <scheme val="none"/>
      </font>
      <fill>
        <patternFill patternType="solid">
          <fgColor indexed="64"/>
          <bgColor theme="9"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4"/>
        <color auto="1"/>
        <name val="Calibri"/>
        <family val="2"/>
        <charset val="238"/>
        <scheme val="minor"/>
      </font>
      <fill>
        <patternFill patternType="solid">
          <fgColor indexed="64"/>
          <bgColor theme="9" tint="0.39997558519241921"/>
        </patternFill>
      </fill>
      <alignment horizontal="center" vertical="bottom" textRotation="0" wrapText="0" indent="0" justifyLastLine="0" shrinkToFit="0" readingOrder="0"/>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border diagonalUp="0" diagonalDown="0" outline="0">
        <left style="thin">
          <color indexed="64"/>
        </left>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dxf>
    <dxf>
      <border>
        <bottom style="thin">
          <color indexed="64"/>
        </bottom>
      </border>
    </dxf>
    <dxf>
      <font>
        <b/>
        <strike val="0"/>
        <outline val="0"/>
        <shadow val="0"/>
        <u val="none"/>
        <vertAlign val="baseline"/>
        <sz val="12"/>
        <color theme="1"/>
        <name val="Czcionka tekstu podstawowego"/>
        <family val="2"/>
        <charset val="238"/>
        <scheme val="none"/>
      </font>
      <alignment vertical="center" textRotation="0" indent="0" justifyLastLine="0" shrinkToFit="0" readingOrder="0"/>
      <border diagonalUp="0" diagonalDown="0" outline="0">
        <left style="thin">
          <color indexed="64"/>
        </left>
        <right style="thin">
          <color indexed="64"/>
        </right>
        <top/>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border diagonalUp="0" diagonalDown="0" outline="0">
        <left style="thin">
          <color indexed="64"/>
        </left>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dxf>
    <dxf>
      <border>
        <bottom style="thin">
          <color indexed="64"/>
        </bottom>
      </border>
    </dxf>
    <dxf>
      <font>
        <b/>
        <strike val="0"/>
        <outline val="0"/>
        <shadow val="0"/>
        <u val="none"/>
        <vertAlign val="baseline"/>
        <sz val="12"/>
        <color theme="1"/>
        <name val="Czcionka tekstu podstawowego"/>
        <family val="2"/>
        <charset val="238"/>
        <scheme val="none"/>
      </font>
      <border diagonalUp="0" diagonalDown="0" outline="0">
        <left style="thin">
          <color indexed="64"/>
        </left>
        <right style="thin">
          <color indexed="64"/>
        </right>
        <top/>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border diagonalUp="0" diagonalDown="0" outline="0">
        <left style="thin">
          <color indexed="64"/>
        </left>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dxf>
    <dxf>
      <border>
        <bottom style="thin">
          <color indexed="64"/>
        </bottom>
      </border>
    </dxf>
    <dxf>
      <font>
        <b/>
        <strike val="0"/>
        <outline val="0"/>
        <shadow val="0"/>
        <u val="none"/>
        <vertAlign val="baseline"/>
        <sz val="12"/>
        <color theme="1"/>
        <name val="Czcionka tekstu podstawowego"/>
        <family val="2"/>
        <charset val="238"/>
        <scheme val="none"/>
      </font>
      <border diagonalUp="0" diagonalDown="0" outline="0">
        <left style="thin">
          <color indexed="64"/>
        </left>
        <right style="thin">
          <color indexed="64"/>
        </right>
        <top/>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border diagonalUp="0" diagonalDown="0" outline="0">
        <left style="thin">
          <color indexed="64"/>
        </left>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dxf>
    <dxf>
      <border>
        <bottom style="thin">
          <color indexed="64"/>
        </bottom>
      </border>
    </dxf>
    <dxf>
      <font>
        <b/>
        <strike val="0"/>
        <outline val="0"/>
        <shadow val="0"/>
        <u val="none"/>
        <vertAlign val="baseline"/>
        <sz val="12"/>
        <color theme="1"/>
        <name val="Czcionka tekstu podstawowego"/>
        <family val="2"/>
        <charset val="238"/>
        <scheme val="none"/>
      </font>
      <border diagonalUp="0" diagonalDown="0" outline="0">
        <left style="thin">
          <color indexed="64"/>
        </left>
        <right style="thin">
          <color indexed="64"/>
        </right>
        <top/>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border diagonalUp="0" diagonalDown="0" outline="0">
        <left style="thin">
          <color indexed="64"/>
        </left>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theme="4" tint="0.79998168889431442"/>
        </patternFill>
      </fill>
      <alignment vertical="center" textRotation="0" indent="0" justifyLastLine="0" shrinkToFit="0" readingOrder="0"/>
    </dxf>
    <dxf>
      <border>
        <bottom style="thin">
          <color indexed="64"/>
        </bottom>
      </border>
    </dxf>
    <dxf>
      <font>
        <b/>
        <strike val="0"/>
        <outline val="0"/>
        <shadow val="0"/>
        <u val="none"/>
        <vertAlign val="baseline"/>
        <sz val="12"/>
        <color theme="1"/>
        <name val="Czcionka tekstu podstawowego"/>
        <family val="2"/>
        <charset val="238"/>
        <scheme val="none"/>
      </font>
      <border diagonalUp="0" diagonalDown="0" outline="0">
        <left style="thin">
          <color indexed="64"/>
        </left>
        <right style="thin">
          <color indexed="64"/>
        </right>
        <top/>
        <bottom/>
      </border>
    </dxf>
    <dxf>
      <font>
        <b/>
        <strike val="0"/>
        <outline val="0"/>
        <shadow val="0"/>
        <u val="none"/>
        <vertAlign val="baseline"/>
        <sz val="12"/>
        <name val="Czcionka tekstu podstawowego"/>
        <family val="2"/>
        <charset val="238"/>
        <scheme val="none"/>
      </font>
      <fill>
        <patternFill patternType="solid">
          <fgColor indexed="64"/>
          <bgColor rgb="FFFFFFCC"/>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name val="Czcionka tekstu podstawowego"/>
        <family val="2"/>
        <charset val="238"/>
        <scheme val="none"/>
      </font>
      <fill>
        <patternFill patternType="solid">
          <fgColor indexed="64"/>
          <bgColor rgb="FFFFFFCC"/>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name val="Czcionka tekstu podstawowego"/>
        <family val="2"/>
        <charset val="238"/>
        <scheme val="none"/>
      </font>
      <numFmt numFmtId="0" formatCode="General"/>
      <fill>
        <patternFill patternType="solid">
          <fgColor indexed="64"/>
          <bgColor rgb="FFFFFFCC"/>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name val="Czcionka tekstu podstawowego"/>
        <family val="2"/>
        <charset val="238"/>
        <scheme val="none"/>
      </font>
      <fill>
        <patternFill patternType="solid">
          <fgColor indexed="64"/>
          <bgColor rgb="FFFFFFCC"/>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name val="Czcionka tekstu podstawowego"/>
        <family val="2"/>
        <charset val="238"/>
        <scheme val="none"/>
      </font>
      <fill>
        <patternFill patternType="solid">
          <fgColor indexed="64"/>
          <bgColor rgb="FFFFFFCC"/>
        </patternFill>
      </fill>
      <alignment horizontal="general" vertical="center" textRotation="0" wrapText="0" indent="0" justifyLastLine="0" shrinkToFit="0" readingOrder="0"/>
    </dxf>
    <dxf>
      <border>
        <bottom style="thin">
          <color indexed="64"/>
        </bottom>
      </border>
    </dxf>
    <dxf>
      <font>
        <b/>
        <strike val="0"/>
        <outline val="0"/>
        <shadow val="0"/>
        <u val="none"/>
        <vertAlign val="baseline"/>
        <sz val="12"/>
        <color auto="1"/>
        <name val="Czcionka tekstu podstawowego"/>
        <family val="2"/>
        <charset val="238"/>
        <scheme val="none"/>
      </font>
      <fill>
        <patternFill patternType="solid">
          <fgColor indexed="64"/>
          <bgColor rgb="FFFFFF99"/>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zcionka tekstu podstawowego"/>
        <family val="2"/>
        <charset val="238"/>
        <scheme val="none"/>
      </font>
      <fill>
        <patternFill patternType="solid">
          <fgColor indexed="64"/>
          <bgColor rgb="FFFFFFCC"/>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12"/>
        <color auto="1"/>
        <name val="Czcionka tekstu podstawowego"/>
        <family val="2"/>
        <charset val="238"/>
        <scheme val="none"/>
      </font>
      <fill>
        <patternFill patternType="solid">
          <fgColor indexed="64"/>
          <bgColor rgb="FFFFFF99"/>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fill>
        <patternFill>
          <bgColor rgb="FFFFFF99"/>
        </patternFill>
      </fill>
    </dxf>
  </dxfs>
  <tableStyles count="1" defaultTableStyle="TableStyleMedium2" defaultPivotStyle="PivotStyleLight16">
    <tableStyle name="Styl tabeli 1" pivot="0" count="1" xr9:uid="{1E46C22F-9DD1-4E69-8E26-D5782DF3F7C9}">
      <tableStyleElement type="wholeTable" dxfId="74"/>
    </tableStyle>
  </tableStyles>
  <colors>
    <mruColors>
      <color rgb="FFC4C1FB"/>
      <color rgb="FFE6E8FE"/>
      <color rgb="FFD5D8FD"/>
      <color rgb="FFB4B0FA"/>
      <color rgb="FFBDA7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0" i="0" u="none" strike="noStrike" kern="1200" spc="0" baseline="0">
              <a:solidFill>
                <a:schemeClr val="dk1"/>
              </a:solidFill>
              <a:latin typeface="+mn-lt"/>
              <a:ea typeface="+mn-ea"/>
              <a:cs typeface="+mn-cs"/>
            </a:defRPr>
          </a:pPr>
          <a:endParaRPr lang="pl-PL"/>
        </a:p>
      </c:txPr>
    </c:title>
    <c:autoTitleDeleted val="0"/>
    <c:plotArea>
      <c:layout/>
      <c:lineChart>
        <c:grouping val="standard"/>
        <c:varyColors val="0"/>
        <c:ser>
          <c:idx val="0"/>
          <c:order val="0"/>
          <c:tx>
            <c:strRef>
              <c:f>Wskaźniki!$B$21</c:f>
              <c:strCache>
                <c:ptCount val="1"/>
                <c:pt idx="0">
                  <c:v>Płynność bieżąca</c:v>
                </c:pt>
              </c:strCache>
            </c:strRef>
          </c:tx>
          <c:spPr>
            <a:ln w="57150" cap="rnd">
              <a:solidFill>
                <a:schemeClr val="accent1"/>
              </a:solidFill>
              <a:round/>
            </a:ln>
            <a:effectLst/>
          </c:spPr>
          <c:marker>
            <c:symbol val="circle"/>
            <c:size val="15"/>
            <c:spPr>
              <a:solidFill>
                <a:schemeClr val="accent1"/>
              </a:solidFill>
              <a:ln w="9525">
                <a:solidFill>
                  <a:schemeClr val="accent1"/>
                </a:solidFill>
              </a:ln>
              <a:effectLst/>
            </c:spPr>
          </c:marker>
          <c:dPt>
            <c:idx val="1"/>
            <c:marker>
              <c:symbol val="circle"/>
              <c:size val="15"/>
              <c:spPr>
                <a:solidFill>
                  <a:schemeClr val="accent1"/>
                </a:solidFill>
                <a:ln w="9525">
                  <a:noFill/>
                </a:ln>
                <a:effectLst/>
              </c:spPr>
            </c:marker>
            <c:bubble3D val="0"/>
            <c:extLst>
              <c:ext xmlns:c16="http://schemas.microsoft.com/office/drawing/2014/chart" uri="{C3380CC4-5D6E-409C-BE32-E72D297353CC}">
                <c16:uniqueId val="{00000000-47BA-4C5B-9D54-E8077213498A}"/>
              </c:ext>
            </c:extLst>
          </c:dPt>
          <c:dLbls>
            <c:dLbl>
              <c:idx val="0"/>
              <c:layout>
                <c:manualLayout>
                  <c:x val="-4.9801731031438493E-2"/>
                  <c:y val="-5.41564866607077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7BA-4C5B-9D54-E8077213498A}"/>
                </c:ext>
              </c:extLst>
            </c:dLbl>
            <c:dLbl>
              <c:idx val="1"/>
              <c:layout>
                <c:manualLayout>
                  <c:x val="-3.6341803725644287E-2"/>
                  <c:y val="-9.02608111011795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7BA-4C5B-9D54-E8077213498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dk1"/>
                    </a:solidFill>
                    <a:latin typeface="+mn-lt"/>
                    <a:ea typeface="+mn-ea"/>
                    <a:cs typeface="+mn-cs"/>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Wskaźniki!$C$20:$D$20</c:f>
              <c:strCache>
                <c:ptCount val="2"/>
                <c:pt idx="0">
                  <c:v>Rok 2024</c:v>
                </c:pt>
                <c:pt idx="1">
                  <c:v>Rok 2023</c:v>
                </c:pt>
              </c:strCache>
            </c:strRef>
          </c:cat>
          <c:val>
            <c:numRef>
              <c:f>Wskaźniki!$C$21:$D$21</c:f>
              <c:numCache>
                <c:formatCode>0.00</c:formatCode>
                <c:ptCount val="2"/>
                <c:pt idx="0">
                  <c:v>0.44728113378228967</c:v>
                </c:pt>
                <c:pt idx="1">
                  <c:v>0.81273178524562095</c:v>
                </c:pt>
              </c:numCache>
            </c:numRef>
          </c:val>
          <c:smooth val="0"/>
          <c:extLst>
            <c:ext xmlns:c16="http://schemas.microsoft.com/office/drawing/2014/chart" uri="{C3380CC4-5D6E-409C-BE32-E72D297353CC}">
              <c16:uniqueId val="{00000003-47BA-4C5B-9D54-E8077213498A}"/>
            </c:ext>
          </c:extLst>
        </c:ser>
        <c:dLbls>
          <c:showLegendKey val="0"/>
          <c:showVal val="0"/>
          <c:showCatName val="0"/>
          <c:showSerName val="0"/>
          <c:showPercent val="0"/>
          <c:showBubbleSize val="0"/>
        </c:dLbls>
        <c:marker val="1"/>
        <c:smooth val="0"/>
        <c:axId val="1310210640"/>
        <c:axId val="1310202960"/>
      </c:lineChart>
      <c:catAx>
        <c:axId val="131021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pl-PL"/>
          </a:p>
        </c:txPr>
        <c:crossAx val="1310202960"/>
        <c:crosses val="autoZero"/>
        <c:auto val="1"/>
        <c:lblAlgn val="ctr"/>
        <c:lblOffset val="100"/>
        <c:noMultiLvlLbl val="0"/>
      </c:catAx>
      <c:valAx>
        <c:axId val="131020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l-PL"/>
          </a:p>
        </c:txPr>
        <c:crossAx val="1310210640"/>
        <c:crosses val="autoZero"/>
        <c:crossBetween val="between"/>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dk1"/>
                </a:solidFill>
                <a:latin typeface="+mn-lt"/>
                <a:ea typeface="+mn-ea"/>
                <a:cs typeface="+mn-cs"/>
              </a:defRPr>
            </a:pPr>
            <a:r>
              <a:rPr lang="en-US"/>
              <a:t>Płynnoś</a:t>
            </a:r>
            <a:r>
              <a:rPr lang="pl-PL"/>
              <a:t>ć</a:t>
            </a:r>
            <a:r>
              <a:rPr lang="en-US"/>
              <a:t> szybka</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dk1"/>
              </a:solidFill>
              <a:latin typeface="+mn-lt"/>
              <a:ea typeface="+mn-ea"/>
              <a:cs typeface="+mn-cs"/>
            </a:defRPr>
          </a:pPr>
          <a:endParaRPr lang="pl-PL"/>
        </a:p>
      </c:txPr>
    </c:title>
    <c:autoTitleDeleted val="0"/>
    <c:plotArea>
      <c:layout/>
      <c:lineChart>
        <c:grouping val="standard"/>
        <c:varyColors val="0"/>
        <c:ser>
          <c:idx val="1"/>
          <c:order val="1"/>
          <c:tx>
            <c:strRef>
              <c:f>Wskaźniki!$B$22</c:f>
              <c:strCache>
                <c:ptCount val="1"/>
                <c:pt idx="0">
                  <c:v>Płynnośc szybka</c:v>
                </c:pt>
              </c:strCache>
            </c:strRef>
          </c:tx>
          <c:spPr>
            <a:ln w="57150" cap="rnd">
              <a:solidFill>
                <a:schemeClr val="accent2"/>
              </a:solidFill>
              <a:round/>
            </a:ln>
            <a:effectLst/>
          </c:spPr>
          <c:marker>
            <c:symbol val="circle"/>
            <c:size val="15"/>
            <c:spPr>
              <a:solidFill>
                <a:schemeClr val="accent2"/>
              </a:solidFill>
              <a:ln w="9525">
                <a:solidFill>
                  <a:schemeClr val="accent2"/>
                </a:solidFill>
              </a:ln>
              <a:effectLst/>
            </c:spPr>
          </c:marker>
          <c:dLbls>
            <c:dLbl>
              <c:idx val="0"/>
              <c:layout>
                <c:manualLayout>
                  <c:x val="-2.0511786374705604E-2"/>
                  <c:y val="-4.75113093958914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56-46CD-87B1-0E33797BD66D}"/>
                </c:ext>
              </c:extLst>
            </c:dLbl>
            <c:dLbl>
              <c:idx val="1"/>
              <c:layout>
                <c:manualLayout>
                  <c:x val="-2.3442041571092087E-2"/>
                  <c:y val="-4.7511309395891439E-2"/>
                </c:manualLayout>
              </c:layout>
              <c:tx>
                <c:rich>
                  <a:bodyPr/>
                  <a:lstStyle/>
                  <a:p>
                    <a:fld id="{B7FBEEC8-1211-42A2-B63A-2A9C9D5717D6}" type="VALUE">
                      <a:rPr lang="en-US" sz="1600"/>
                      <a:pPr/>
                      <a:t>[WARTOŚĆ]</a:t>
                    </a:fld>
                    <a:endParaRPr lang="pl-PL"/>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3356-46CD-87B1-0E33797BD66D}"/>
                </c:ext>
              </c:extLst>
            </c:dLbl>
            <c:spPr>
              <a:no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Wskaźniki!$C$20:$E$20</c15:sqref>
                  </c15:fullRef>
                </c:ext>
              </c:extLst>
              <c:f>Wskaźniki!$C$20:$D$20</c:f>
              <c:strCache>
                <c:ptCount val="2"/>
                <c:pt idx="0">
                  <c:v>Rok 2024</c:v>
                </c:pt>
                <c:pt idx="1">
                  <c:v>Rok 2023</c:v>
                </c:pt>
              </c:strCache>
            </c:strRef>
          </c:cat>
          <c:val>
            <c:numRef>
              <c:extLst>
                <c:ext xmlns:c15="http://schemas.microsoft.com/office/drawing/2012/chart" uri="{02D57815-91ED-43cb-92C2-25804820EDAC}">
                  <c15:fullRef>
                    <c15:sqref>Wskaźniki!$C$22:$E$22</c15:sqref>
                  </c15:fullRef>
                </c:ext>
              </c:extLst>
              <c:f>Wskaźniki!$C$22:$D$22</c:f>
              <c:numCache>
                <c:formatCode>0.00</c:formatCode>
                <c:ptCount val="2"/>
                <c:pt idx="0">
                  <c:v>0.5809182385722742</c:v>
                </c:pt>
                <c:pt idx="1">
                  <c:v>0.97988817253380489</c:v>
                </c:pt>
              </c:numCache>
            </c:numRef>
          </c:val>
          <c:smooth val="0"/>
          <c:extLst>
            <c:ext xmlns:c16="http://schemas.microsoft.com/office/drawing/2014/chart" uri="{C3380CC4-5D6E-409C-BE32-E72D297353CC}">
              <c16:uniqueId val="{00000003-3356-46CD-87B1-0E33797BD66D}"/>
            </c:ext>
          </c:extLst>
        </c:ser>
        <c:dLbls>
          <c:showLegendKey val="0"/>
          <c:showVal val="0"/>
          <c:showCatName val="0"/>
          <c:showSerName val="0"/>
          <c:showPercent val="0"/>
          <c:showBubbleSize val="0"/>
        </c:dLbls>
        <c:marker val="1"/>
        <c:smooth val="0"/>
        <c:axId val="1310045520"/>
        <c:axId val="1310049360"/>
        <c:extLst>
          <c:ext xmlns:c15="http://schemas.microsoft.com/office/drawing/2012/chart" uri="{02D57815-91ED-43cb-92C2-25804820EDAC}">
            <c15:filteredLineSeries>
              <c15:ser>
                <c:idx val="0"/>
                <c:order val="0"/>
                <c:tx>
                  <c:strRef>
                    <c:extLst>
                      <c:ext uri="{02D57815-91ED-43cb-92C2-25804820EDAC}">
                        <c15:formulaRef>
                          <c15:sqref>Wskaźniki!$B$21</c15:sqref>
                        </c15:formulaRef>
                      </c:ext>
                    </c:extLst>
                    <c:strCache>
                      <c:ptCount val="1"/>
                      <c:pt idx="0">
                        <c:v>Płynność bieżąca</c:v>
                      </c:pt>
                    </c:strCache>
                  </c:strRef>
                </c:tx>
                <c:spPr>
                  <a:ln w="28575" cap="rnd">
                    <a:solidFill>
                      <a:schemeClr val="accent1"/>
                    </a:solidFill>
                    <a:round/>
                  </a:ln>
                  <a:effectLst/>
                </c:spPr>
                <c:marker>
                  <c:symbol val="none"/>
                </c:marker>
                <c:cat>
                  <c:strRef>
                    <c:extLst>
                      <c:ex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uri="{02D57815-91ED-43cb-92C2-25804820EDAC}">
                        <c15:fullRef>
                          <c15:sqref>Wskaźniki!$C$21:$E$21</c15:sqref>
                        </c15:fullRef>
                        <c15:formulaRef>
                          <c15:sqref>Wskaźniki!$C$21:$D$21</c15:sqref>
                        </c15:formulaRef>
                      </c:ext>
                    </c:extLst>
                    <c:numCache>
                      <c:formatCode>0.00</c:formatCode>
                      <c:ptCount val="2"/>
                      <c:pt idx="0">
                        <c:v>0.44728113378228967</c:v>
                      </c:pt>
                      <c:pt idx="1">
                        <c:v>0.81273178524562095</c:v>
                      </c:pt>
                    </c:numCache>
                  </c:numRef>
                </c:val>
                <c:smooth val="0"/>
                <c:extLst>
                  <c:ext xmlns:c16="http://schemas.microsoft.com/office/drawing/2014/chart" uri="{C3380CC4-5D6E-409C-BE32-E72D297353CC}">
                    <c16:uniqueId val="{00000004-3356-46CD-87B1-0E33797BD66D}"/>
                  </c:ext>
                </c:extLst>
              </c15:ser>
            </c15:filteredLineSeries>
            <c15:filteredLineSeries>
              <c15:ser>
                <c:idx val="2"/>
                <c:order val="2"/>
                <c:tx>
                  <c:strRef>
                    <c:extLst>
                      <c:ext xmlns:c15="http://schemas.microsoft.com/office/drawing/2012/chart" uri="{02D57815-91ED-43cb-92C2-25804820EDAC}">
                        <c15:formulaRef>
                          <c15:sqref>Wskaźniki!$B$23</c15:sqref>
                        </c15:formulaRef>
                      </c:ext>
                    </c:extLst>
                    <c:strCache>
                      <c:ptCount val="1"/>
                      <c:pt idx="0">
                        <c:v>Płynność gotówkowa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Wskaźniki!$C$23:$E$23</c15:sqref>
                        </c15:fullRef>
                        <c15:formulaRef>
                          <c15:sqref>Wskaźniki!$C$23:$D$23</c15:sqref>
                        </c15:formulaRef>
                      </c:ext>
                    </c:extLst>
                    <c:numCache>
                      <c:formatCode>0.00</c:formatCode>
                      <c:ptCount val="2"/>
                      <c:pt idx="0">
                        <c:v>0.30051038071944697</c:v>
                      </c:pt>
                      <c:pt idx="1">
                        <c:v>0.69006390140925422</c:v>
                      </c:pt>
                    </c:numCache>
                  </c:numRef>
                </c:val>
                <c:smooth val="0"/>
                <c:extLst xmlns:c15="http://schemas.microsoft.com/office/drawing/2012/chart">
                  <c:ext xmlns:c16="http://schemas.microsoft.com/office/drawing/2014/chart" uri="{C3380CC4-5D6E-409C-BE32-E72D297353CC}">
                    <c16:uniqueId val="{00000005-3356-46CD-87B1-0E33797BD66D}"/>
                  </c:ext>
                </c:extLst>
              </c15:ser>
            </c15:filteredLineSeries>
            <c15:filteredLineSeries>
              <c15:ser>
                <c:idx val="3"/>
                <c:order val="3"/>
                <c:tx>
                  <c:strRef>
                    <c:extLst>
                      <c:ext xmlns:c15="http://schemas.microsoft.com/office/drawing/2012/chart" uri="{02D57815-91ED-43cb-92C2-25804820EDAC}">
                        <c15:formulaRef>
                          <c15:sqref>Wskaźniki!$B$24</c15:sqref>
                        </c15:formulaRef>
                      </c:ext>
                    </c:extLst>
                    <c:strCache>
                      <c:ptCount val="1"/>
                      <c:pt idx="0">
                        <c:v>Wskaźnik bieżącej wypłacalności</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Wskaźniki!$C$24:$E$24</c15:sqref>
                        </c15:fullRef>
                        <c15:formulaRef>
                          <c15:sqref>Wskaźniki!$C$24:$D$24</c15:sqref>
                        </c15:formulaRef>
                      </c:ext>
                    </c:extLst>
                    <c:numCache>
                      <c:formatCode>0.00</c:formatCode>
                      <c:ptCount val="2"/>
                      <c:pt idx="0">
                        <c:v>3.2735886934875134</c:v>
                      </c:pt>
                      <c:pt idx="1">
                        <c:v>5.988899918779893</c:v>
                      </c:pt>
                    </c:numCache>
                  </c:numRef>
                </c:val>
                <c:smooth val="0"/>
                <c:extLst xmlns:c15="http://schemas.microsoft.com/office/drawing/2012/chart">
                  <c:ext xmlns:c16="http://schemas.microsoft.com/office/drawing/2014/chart" uri="{C3380CC4-5D6E-409C-BE32-E72D297353CC}">
                    <c16:uniqueId val="{00000006-3356-46CD-87B1-0E33797BD66D}"/>
                  </c:ext>
                </c:extLst>
              </c15:ser>
            </c15:filteredLineSeries>
            <c15:filteredLineSeries>
              <c15:ser>
                <c:idx val="4"/>
                <c:order val="4"/>
                <c:tx>
                  <c:strRef>
                    <c:extLst>
                      <c:ext xmlns:c15="http://schemas.microsoft.com/office/drawing/2012/chart" uri="{02D57815-91ED-43cb-92C2-25804820EDAC}">
                        <c15:formulaRef>
                          <c15:sqref>Wskaźniki!$B$25</c15:sqref>
                        </c15:formulaRef>
                      </c:ext>
                    </c:extLst>
                    <c:strCache>
                      <c:ptCount val="1"/>
                      <c:pt idx="0">
                        <c:v>Rotacja zapasów</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Wskaźniki!$C$25:$E$25</c15:sqref>
                        </c15:fullRef>
                        <c15:formulaRef>
                          <c15:sqref>Wskaźniki!$C$25:$D$25</c15:sqref>
                        </c15:formulaRef>
                      </c:ext>
                    </c:extLst>
                    <c:numCache>
                      <c:formatCode>0.00</c:formatCode>
                      <c:ptCount val="2"/>
                      <c:pt idx="0">
                        <c:v>-1.1599999999999999</c:v>
                      </c:pt>
                      <c:pt idx="1">
                        <c:v>-1.23</c:v>
                      </c:pt>
                    </c:numCache>
                  </c:numRef>
                </c:val>
                <c:smooth val="0"/>
                <c:extLst xmlns:c15="http://schemas.microsoft.com/office/drawing/2012/chart">
                  <c:ext xmlns:c16="http://schemas.microsoft.com/office/drawing/2014/chart" uri="{C3380CC4-5D6E-409C-BE32-E72D297353CC}">
                    <c16:uniqueId val="{00000007-3356-46CD-87B1-0E33797BD66D}"/>
                  </c:ext>
                </c:extLst>
              </c15:ser>
            </c15:filteredLineSeries>
          </c:ext>
        </c:extLst>
      </c:lineChart>
      <c:catAx>
        <c:axId val="131004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pl-PL"/>
          </a:p>
        </c:txPr>
        <c:crossAx val="1310049360"/>
        <c:crosses val="autoZero"/>
        <c:auto val="1"/>
        <c:lblAlgn val="ctr"/>
        <c:lblOffset val="100"/>
        <c:noMultiLvlLbl val="0"/>
      </c:catAx>
      <c:valAx>
        <c:axId val="1310049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l-PL"/>
          </a:p>
        </c:txPr>
        <c:crossAx val="131004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pl-PL"/>
        </a:p>
      </c:txPr>
    </c:legend>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pl-P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lineChart>
        <c:grouping val="standard"/>
        <c:varyColors val="0"/>
        <c:ser>
          <c:idx val="8"/>
          <c:order val="3"/>
          <c:tx>
            <c:strRef>
              <c:f>Wskaźniki!$B$24</c:f>
              <c:strCache>
                <c:ptCount val="1"/>
                <c:pt idx="0">
                  <c:v>Wskaźnik bieżącej wypłacalności</c:v>
                </c:pt>
              </c:strCache>
            </c:strRef>
          </c:tx>
          <c:spPr>
            <a:ln w="57150"/>
          </c:spPr>
          <c:marker>
            <c:symbol val="circle"/>
            <c:size val="15"/>
          </c:marker>
          <c:dLbls>
            <c:dLbl>
              <c:idx val="0"/>
              <c:layout>
                <c:manualLayout>
                  <c:x val="-7.9365079365079656E-3"/>
                  <c:y val="-3.55990592878506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1B0-48A8-BEA7-43AB730F4706}"/>
                </c:ext>
              </c:extLst>
            </c:dLbl>
            <c:dLbl>
              <c:idx val="1"/>
              <c:layout>
                <c:manualLayout>
                  <c:x val="-1.1111111111111112E-2"/>
                  <c:y val="-3.83374484638391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1B0-48A8-BEA7-43AB730F4706}"/>
                </c:ext>
              </c:extLst>
            </c:dLbl>
            <c:spPr>
              <a:noFill/>
              <a:ln>
                <a:noFill/>
              </a:ln>
              <a:effectLst/>
            </c:spPr>
            <c:txPr>
              <a:bodyPr wrap="square" lIns="38100" tIns="19050" rIns="38100" bIns="19050" anchor="ctr">
                <a:spAutoFit/>
              </a:bodyPr>
              <a:lstStyle/>
              <a:p>
                <a:pPr>
                  <a:defRPr sz="1600"/>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ext>
              </c:extLst>
              <c:f>Wskaźniki!$C$20:$D$20</c:f>
              <c:strCache>
                <c:ptCount val="2"/>
                <c:pt idx="0">
                  <c:v>Rok 2024</c:v>
                </c:pt>
                <c:pt idx="1">
                  <c:v>Rok 2023</c:v>
                </c:pt>
              </c:strCache>
            </c:strRef>
          </c:cat>
          <c:val>
            <c:numRef>
              <c:extLst>
                <c:ext xmlns:c15="http://schemas.microsoft.com/office/drawing/2012/chart" uri="{02D57815-91ED-43cb-92C2-25804820EDAC}">
                  <c15:fullRef>
                    <c15:sqref>Wskaźniki!$C$24:$E$24</c15:sqref>
                  </c15:fullRef>
                </c:ext>
              </c:extLst>
              <c:f>Wskaźniki!$C$24:$D$24</c:f>
              <c:numCache>
                <c:formatCode>0.00</c:formatCode>
                <c:ptCount val="2"/>
                <c:pt idx="0">
                  <c:v>3.2735886934875134</c:v>
                </c:pt>
                <c:pt idx="1">
                  <c:v>5.988899918779893</c:v>
                </c:pt>
              </c:numCache>
            </c:numRef>
          </c:val>
          <c:smooth val="0"/>
          <c:extLst>
            <c:ext xmlns:c16="http://schemas.microsoft.com/office/drawing/2014/chart" uri="{C3380CC4-5D6E-409C-BE32-E72D297353CC}">
              <c16:uniqueId val="{00000002-81B0-48A8-BEA7-43AB730F4706}"/>
            </c:ext>
          </c:extLst>
        </c:ser>
        <c:dLbls>
          <c:showLegendKey val="0"/>
          <c:showVal val="0"/>
          <c:showCatName val="0"/>
          <c:showSerName val="0"/>
          <c:showPercent val="0"/>
          <c:showBubbleSize val="0"/>
        </c:dLbls>
        <c:marker val="1"/>
        <c:smooth val="0"/>
        <c:axId val="1309996080"/>
        <c:axId val="1309979760"/>
        <c:extLst>
          <c:ext xmlns:c15="http://schemas.microsoft.com/office/drawing/2012/chart" uri="{02D57815-91ED-43cb-92C2-25804820EDAC}">
            <c15:filteredLineSeries>
              <c15:ser>
                <c:idx val="5"/>
                <c:order val="0"/>
                <c:tx>
                  <c:strRef>
                    <c:extLst>
                      <c:ext uri="{02D57815-91ED-43cb-92C2-25804820EDAC}">
                        <c15:formulaRef>
                          <c15:sqref>Wskaźniki!$B$21</c15:sqref>
                        </c15:formulaRef>
                      </c:ext>
                    </c:extLst>
                    <c:strCache>
                      <c:ptCount val="1"/>
                      <c:pt idx="0">
                        <c:v>Płynność bieżąca</c:v>
                      </c:pt>
                    </c:strCache>
                  </c:strRef>
                </c:tx>
                <c:marker>
                  <c:symbol val="none"/>
                </c:marker>
                <c:cat>
                  <c:strRef>
                    <c:extLst>
                      <c:ex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uri="{02D57815-91ED-43cb-92C2-25804820EDAC}">
                        <c15:fullRef>
                          <c15:sqref>Wskaźniki!$C$21:$E$21</c15:sqref>
                        </c15:fullRef>
                        <c15:formulaRef>
                          <c15:sqref>Wskaźniki!$C$21:$D$21</c15:sqref>
                        </c15:formulaRef>
                      </c:ext>
                    </c:extLst>
                    <c:numCache>
                      <c:formatCode>0.00</c:formatCode>
                      <c:ptCount val="2"/>
                      <c:pt idx="0">
                        <c:v>0.44728113378228967</c:v>
                      </c:pt>
                      <c:pt idx="1">
                        <c:v>0.81273178524562095</c:v>
                      </c:pt>
                    </c:numCache>
                  </c:numRef>
                </c:val>
                <c:smooth val="0"/>
                <c:extLst>
                  <c:ext xmlns:c16="http://schemas.microsoft.com/office/drawing/2014/chart" uri="{C3380CC4-5D6E-409C-BE32-E72D297353CC}">
                    <c16:uniqueId val="{00000003-81B0-48A8-BEA7-43AB730F4706}"/>
                  </c:ext>
                </c:extLst>
              </c15:ser>
            </c15:filteredLineSeries>
            <c15:filteredLineSeries>
              <c15:ser>
                <c:idx val="6"/>
                <c:order val="1"/>
                <c:tx>
                  <c:strRef>
                    <c:extLst xmlns:c15="http://schemas.microsoft.com/office/drawing/2012/chart">
                      <c:ext xmlns:c15="http://schemas.microsoft.com/office/drawing/2012/chart" uri="{02D57815-91ED-43cb-92C2-25804820EDAC}">
                        <c15:formulaRef>
                          <c15:sqref>Wskaźniki!$B$22</c15:sqref>
                        </c15:formulaRef>
                      </c:ext>
                    </c:extLst>
                    <c:strCache>
                      <c:ptCount val="1"/>
                      <c:pt idx="0">
                        <c:v>Płynnośc szybka</c:v>
                      </c:pt>
                    </c:strCache>
                  </c:strRef>
                </c:tx>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Wskaźniki!$C$22:$E$22</c15:sqref>
                        </c15:fullRef>
                        <c15:formulaRef>
                          <c15:sqref>Wskaźniki!$C$22:$D$22</c15:sqref>
                        </c15:formulaRef>
                      </c:ext>
                    </c:extLst>
                    <c:numCache>
                      <c:formatCode>0.00</c:formatCode>
                      <c:ptCount val="2"/>
                      <c:pt idx="0">
                        <c:v>0.5809182385722742</c:v>
                      </c:pt>
                      <c:pt idx="1">
                        <c:v>0.97988817253380489</c:v>
                      </c:pt>
                    </c:numCache>
                  </c:numRef>
                </c:val>
                <c:smooth val="0"/>
                <c:extLst xmlns:c15="http://schemas.microsoft.com/office/drawing/2012/chart">
                  <c:ext xmlns:c16="http://schemas.microsoft.com/office/drawing/2014/chart" uri="{C3380CC4-5D6E-409C-BE32-E72D297353CC}">
                    <c16:uniqueId val="{00000004-81B0-48A8-BEA7-43AB730F4706}"/>
                  </c:ext>
                </c:extLst>
              </c15:ser>
            </c15:filteredLineSeries>
            <c15:filteredLineSeries>
              <c15:ser>
                <c:idx val="7"/>
                <c:order val="2"/>
                <c:tx>
                  <c:strRef>
                    <c:extLst xmlns:c15="http://schemas.microsoft.com/office/drawing/2012/chart">
                      <c:ext xmlns:c15="http://schemas.microsoft.com/office/drawing/2012/chart" uri="{02D57815-91ED-43cb-92C2-25804820EDAC}">
                        <c15:formulaRef>
                          <c15:sqref>Wskaźniki!$B$23</c15:sqref>
                        </c15:formulaRef>
                      </c:ext>
                    </c:extLst>
                    <c:strCache>
                      <c:ptCount val="1"/>
                      <c:pt idx="0">
                        <c:v>Płynność gotówkowa</c:v>
                      </c:pt>
                    </c:strCache>
                  </c:strRef>
                </c:tx>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Wskaźniki!$C$23:$E$23</c15:sqref>
                        </c15:fullRef>
                        <c15:formulaRef>
                          <c15:sqref>Wskaźniki!$C$23:$D$23</c15:sqref>
                        </c15:formulaRef>
                      </c:ext>
                    </c:extLst>
                    <c:numCache>
                      <c:formatCode>0.00</c:formatCode>
                      <c:ptCount val="2"/>
                      <c:pt idx="0">
                        <c:v>0.30051038071944697</c:v>
                      </c:pt>
                      <c:pt idx="1">
                        <c:v>0.69006390140925422</c:v>
                      </c:pt>
                    </c:numCache>
                  </c:numRef>
                </c:val>
                <c:smooth val="0"/>
                <c:extLst xmlns:c15="http://schemas.microsoft.com/office/drawing/2012/chart">
                  <c:ext xmlns:c16="http://schemas.microsoft.com/office/drawing/2014/chart" uri="{C3380CC4-5D6E-409C-BE32-E72D297353CC}">
                    <c16:uniqueId val="{00000005-81B0-48A8-BEA7-43AB730F4706}"/>
                  </c:ext>
                </c:extLst>
              </c15:ser>
            </c15:filteredLineSeries>
            <c15:filteredLineSeries>
              <c15:ser>
                <c:idx val="9"/>
                <c:order val="4"/>
                <c:tx>
                  <c:strRef>
                    <c:extLst xmlns:c15="http://schemas.microsoft.com/office/drawing/2012/chart">
                      <c:ext xmlns:c15="http://schemas.microsoft.com/office/drawing/2012/chart" uri="{02D57815-91ED-43cb-92C2-25804820EDAC}">
                        <c15:formulaRef>
                          <c15:sqref>Wskaźniki!$B$25</c15:sqref>
                        </c15:formulaRef>
                      </c:ext>
                    </c:extLst>
                    <c:strCache>
                      <c:ptCount val="1"/>
                      <c:pt idx="0">
                        <c:v>Rotacja zapasów</c:v>
                      </c:pt>
                    </c:strCache>
                  </c:strRef>
                </c:tx>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Wskaźniki!$C$25:$E$25</c15:sqref>
                        </c15:fullRef>
                        <c15:formulaRef>
                          <c15:sqref>Wskaźniki!$C$25:$D$25</c15:sqref>
                        </c15:formulaRef>
                      </c:ext>
                    </c:extLst>
                    <c:numCache>
                      <c:formatCode>0.00</c:formatCode>
                      <c:ptCount val="2"/>
                      <c:pt idx="0">
                        <c:v>-1.1599999999999999</c:v>
                      </c:pt>
                      <c:pt idx="1">
                        <c:v>-1.23</c:v>
                      </c:pt>
                    </c:numCache>
                  </c:numRef>
                </c:val>
                <c:smooth val="0"/>
                <c:extLst xmlns:c15="http://schemas.microsoft.com/office/drawing/2012/chart">
                  <c:ext xmlns:c16="http://schemas.microsoft.com/office/drawing/2014/chart" uri="{C3380CC4-5D6E-409C-BE32-E72D297353CC}">
                    <c16:uniqueId val="{00000006-81B0-48A8-BEA7-43AB730F4706}"/>
                  </c:ext>
                </c:extLst>
              </c15:ser>
            </c15:filteredLineSeries>
            <c15:filteredLineSeries>
              <c15:ser>
                <c:idx val="0"/>
                <c:order val="5"/>
                <c:tx>
                  <c:strRef>
                    <c:extLst xmlns:c15="http://schemas.microsoft.com/office/drawing/2012/chart">
                      <c:ext xmlns:c15="http://schemas.microsoft.com/office/drawing/2012/chart" uri="{02D57815-91ED-43cb-92C2-25804820EDAC}">
                        <c15:formulaRef>
                          <c15:sqref>Wskaźniki!$B$21</c15:sqref>
                        </c15:formulaRef>
                      </c:ext>
                    </c:extLst>
                    <c:strCache>
                      <c:ptCount val="1"/>
                      <c:pt idx="0">
                        <c:v>Płynność bieżąca</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Wskaźniki!$C$21:$E$21</c15:sqref>
                        </c15:fullRef>
                        <c15:formulaRef>
                          <c15:sqref>Wskaźniki!$C$21:$D$21</c15:sqref>
                        </c15:formulaRef>
                      </c:ext>
                    </c:extLst>
                    <c:numCache>
                      <c:formatCode>0.00</c:formatCode>
                      <c:ptCount val="2"/>
                      <c:pt idx="0">
                        <c:v>0.44728113378228967</c:v>
                      </c:pt>
                      <c:pt idx="1">
                        <c:v>0.81273178524562095</c:v>
                      </c:pt>
                    </c:numCache>
                  </c:numRef>
                </c:val>
                <c:smooth val="0"/>
                <c:extLst xmlns:c15="http://schemas.microsoft.com/office/drawing/2012/chart">
                  <c:ext xmlns:c16="http://schemas.microsoft.com/office/drawing/2014/chart" uri="{C3380CC4-5D6E-409C-BE32-E72D297353CC}">
                    <c16:uniqueId val="{00000007-81B0-48A8-BEA7-43AB730F4706}"/>
                  </c:ext>
                </c:extLst>
              </c15:ser>
            </c15:filteredLineSeries>
            <c15:filteredLineSeries>
              <c15:ser>
                <c:idx val="1"/>
                <c:order val="6"/>
                <c:tx>
                  <c:strRef>
                    <c:extLst xmlns:c15="http://schemas.microsoft.com/office/drawing/2012/chart">
                      <c:ext xmlns:c15="http://schemas.microsoft.com/office/drawing/2012/chart" uri="{02D57815-91ED-43cb-92C2-25804820EDAC}">
                        <c15:formulaRef>
                          <c15:sqref>Wskaźniki!$B$22</c15:sqref>
                        </c15:formulaRef>
                      </c:ext>
                    </c:extLst>
                    <c:strCache>
                      <c:ptCount val="1"/>
                      <c:pt idx="0">
                        <c:v>Płynnośc szybka</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Wskaźniki!$C$22:$E$22</c15:sqref>
                        </c15:fullRef>
                        <c15:formulaRef>
                          <c15:sqref>Wskaźniki!$C$22:$D$22</c15:sqref>
                        </c15:formulaRef>
                      </c:ext>
                    </c:extLst>
                    <c:numCache>
                      <c:formatCode>0.00</c:formatCode>
                      <c:ptCount val="2"/>
                      <c:pt idx="0">
                        <c:v>0.5809182385722742</c:v>
                      </c:pt>
                      <c:pt idx="1">
                        <c:v>0.97988817253380489</c:v>
                      </c:pt>
                    </c:numCache>
                  </c:numRef>
                </c:val>
                <c:smooth val="0"/>
                <c:extLst xmlns:c15="http://schemas.microsoft.com/office/drawing/2012/chart">
                  <c:ext xmlns:c16="http://schemas.microsoft.com/office/drawing/2014/chart" uri="{C3380CC4-5D6E-409C-BE32-E72D297353CC}">
                    <c16:uniqueId val="{00000008-81B0-48A8-BEA7-43AB730F4706}"/>
                  </c:ext>
                </c:extLst>
              </c15:ser>
            </c15:filteredLineSeries>
            <c15:filteredLineSeries>
              <c15:ser>
                <c:idx val="2"/>
                <c:order val="7"/>
                <c:tx>
                  <c:strRef>
                    <c:extLst xmlns:c15="http://schemas.microsoft.com/office/drawing/2012/chart">
                      <c:ext xmlns:c15="http://schemas.microsoft.com/office/drawing/2012/chart" uri="{02D57815-91ED-43cb-92C2-25804820EDAC}">
                        <c15:formulaRef>
                          <c15:sqref>Wskaźniki!$B$23</c15:sqref>
                        </c15:formulaRef>
                      </c:ext>
                    </c:extLst>
                    <c:strCache>
                      <c:ptCount val="1"/>
                      <c:pt idx="0">
                        <c:v>Płynność gotówkowa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Wskaźniki!$C$23:$E$23</c15:sqref>
                        </c15:fullRef>
                        <c15:formulaRef>
                          <c15:sqref>Wskaźniki!$C$23:$D$23</c15:sqref>
                        </c15:formulaRef>
                      </c:ext>
                    </c:extLst>
                    <c:numCache>
                      <c:formatCode>0.00</c:formatCode>
                      <c:ptCount val="2"/>
                      <c:pt idx="0">
                        <c:v>0.30051038071944697</c:v>
                      </c:pt>
                      <c:pt idx="1">
                        <c:v>0.69006390140925422</c:v>
                      </c:pt>
                    </c:numCache>
                  </c:numRef>
                </c:val>
                <c:smooth val="0"/>
                <c:extLst xmlns:c15="http://schemas.microsoft.com/office/drawing/2012/chart">
                  <c:ext xmlns:c16="http://schemas.microsoft.com/office/drawing/2014/chart" uri="{C3380CC4-5D6E-409C-BE32-E72D297353CC}">
                    <c16:uniqueId val="{00000009-81B0-48A8-BEA7-43AB730F4706}"/>
                  </c:ext>
                </c:extLst>
              </c15:ser>
            </c15:filteredLineSeries>
            <c15:filteredLineSeries>
              <c15:ser>
                <c:idx val="3"/>
                <c:order val="8"/>
                <c:tx>
                  <c:strRef>
                    <c:extLst xmlns:c15="http://schemas.microsoft.com/office/drawing/2012/chart">
                      <c:ext xmlns:c15="http://schemas.microsoft.com/office/drawing/2012/chart" uri="{02D57815-91ED-43cb-92C2-25804820EDAC}">
                        <c15:formulaRef>
                          <c15:sqref>Wskaźniki!$B$24</c15:sqref>
                        </c15:formulaRef>
                      </c:ext>
                    </c:extLst>
                    <c:strCache>
                      <c:ptCount val="1"/>
                      <c:pt idx="0">
                        <c:v>Wskaźnik bieżącej wypłacalności</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Wskaźniki!$C$24:$E$24</c15:sqref>
                        </c15:fullRef>
                        <c15:formulaRef>
                          <c15:sqref>Wskaźniki!$C$24:$D$24</c15:sqref>
                        </c15:formulaRef>
                      </c:ext>
                    </c:extLst>
                    <c:numCache>
                      <c:formatCode>0.00</c:formatCode>
                      <c:ptCount val="2"/>
                      <c:pt idx="0">
                        <c:v>3.2735886934875134</c:v>
                      </c:pt>
                      <c:pt idx="1">
                        <c:v>5.988899918779893</c:v>
                      </c:pt>
                    </c:numCache>
                  </c:numRef>
                </c:val>
                <c:smooth val="0"/>
                <c:extLst xmlns:c15="http://schemas.microsoft.com/office/drawing/2012/chart">
                  <c:ext xmlns:c16="http://schemas.microsoft.com/office/drawing/2014/chart" uri="{C3380CC4-5D6E-409C-BE32-E72D297353CC}">
                    <c16:uniqueId val="{0000000A-81B0-48A8-BEA7-43AB730F4706}"/>
                  </c:ext>
                </c:extLst>
              </c15:ser>
            </c15:filteredLineSeries>
            <c15:filteredLineSeries>
              <c15:ser>
                <c:idx val="4"/>
                <c:order val="9"/>
                <c:tx>
                  <c:strRef>
                    <c:extLst xmlns:c15="http://schemas.microsoft.com/office/drawing/2012/chart">
                      <c:ext xmlns:c15="http://schemas.microsoft.com/office/drawing/2012/chart" uri="{02D57815-91ED-43cb-92C2-25804820EDAC}">
                        <c15:formulaRef>
                          <c15:sqref>Wskaźniki!$B$25</c15:sqref>
                        </c15:formulaRef>
                      </c:ext>
                    </c:extLst>
                    <c:strCache>
                      <c:ptCount val="1"/>
                      <c:pt idx="0">
                        <c:v>Rotacja zapasów</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Wskaźniki!$C$25:$E$25</c15:sqref>
                        </c15:fullRef>
                        <c15:formulaRef>
                          <c15:sqref>Wskaźniki!$C$25:$D$25</c15:sqref>
                        </c15:formulaRef>
                      </c:ext>
                    </c:extLst>
                    <c:numCache>
                      <c:formatCode>0.00</c:formatCode>
                      <c:ptCount val="2"/>
                      <c:pt idx="0">
                        <c:v>-1.1599999999999999</c:v>
                      </c:pt>
                      <c:pt idx="1">
                        <c:v>-1.23</c:v>
                      </c:pt>
                    </c:numCache>
                  </c:numRef>
                </c:val>
                <c:smooth val="0"/>
                <c:extLst xmlns:c15="http://schemas.microsoft.com/office/drawing/2012/chart">
                  <c:ext xmlns:c16="http://schemas.microsoft.com/office/drawing/2014/chart" uri="{C3380CC4-5D6E-409C-BE32-E72D297353CC}">
                    <c16:uniqueId val="{0000000B-81B0-48A8-BEA7-43AB730F4706}"/>
                  </c:ext>
                </c:extLst>
              </c15:ser>
            </c15:filteredLineSeries>
          </c:ext>
        </c:extLst>
      </c:lineChart>
      <c:catAx>
        <c:axId val="130999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l-PL"/>
          </a:p>
        </c:txPr>
        <c:crossAx val="1309979760"/>
        <c:crosses val="autoZero"/>
        <c:auto val="1"/>
        <c:lblAlgn val="ctr"/>
        <c:lblOffset val="100"/>
        <c:noMultiLvlLbl val="0"/>
      </c:catAx>
      <c:valAx>
        <c:axId val="130997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309996080"/>
        <c:crosses val="autoZero"/>
        <c:crossBetween val="between"/>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ln w="28575">
      <a:solidFill>
        <a:sysClr val="windowText" lastClr="000000"/>
      </a:solidFill>
    </a:ln>
  </c:spPr>
  <c:txPr>
    <a:bodyPr/>
    <a:lstStyle/>
    <a:p>
      <a:pPr>
        <a:defRPr/>
      </a:pPr>
      <a:endParaRPr lang="pl-P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lineChart>
        <c:grouping val="standard"/>
        <c:varyColors val="0"/>
        <c:ser>
          <c:idx val="9"/>
          <c:order val="4"/>
          <c:tx>
            <c:strRef>
              <c:f>Wskaźniki!$B$25</c:f>
              <c:strCache>
                <c:ptCount val="1"/>
                <c:pt idx="0">
                  <c:v>Rotacja zapasów</c:v>
                </c:pt>
              </c:strCache>
            </c:strRef>
          </c:tx>
          <c:marker>
            <c:symbol val="circle"/>
            <c:size val="15"/>
          </c:marker>
          <c:dPt>
            <c:idx val="1"/>
            <c:bubble3D val="0"/>
            <c:spPr>
              <a:ln w="57150"/>
            </c:spPr>
            <c:extLst>
              <c:ext xmlns:c16="http://schemas.microsoft.com/office/drawing/2014/chart" uri="{C3380CC4-5D6E-409C-BE32-E72D297353CC}">
                <c16:uniqueId val="{00000001-5089-4734-9BD0-FB05BC362BBB}"/>
              </c:ext>
            </c:extLst>
          </c:dPt>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ext>
              </c:extLst>
              <c:f>Wskaźniki!$C$20:$D$20</c:f>
              <c:strCache>
                <c:ptCount val="2"/>
                <c:pt idx="0">
                  <c:v>Rok 2024</c:v>
                </c:pt>
                <c:pt idx="1">
                  <c:v>Rok 2023</c:v>
                </c:pt>
              </c:strCache>
            </c:strRef>
          </c:cat>
          <c:val>
            <c:numRef>
              <c:extLst>
                <c:ext xmlns:c15="http://schemas.microsoft.com/office/drawing/2012/chart" uri="{02D57815-91ED-43cb-92C2-25804820EDAC}">
                  <c15:fullRef>
                    <c15:sqref>Wskaźniki!$C$25:$E$25</c15:sqref>
                  </c15:fullRef>
                </c:ext>
              </c:extLst>
              <c:f>Wskaźniki!$C$25:$D$25</c:f>
              <c:numCache>
                <c:formatCode>0.00</c:formatCode>
                <c:ptCount val="2"/>
                <c:pt idx="0">
                  <c:v>-1.1599999999999999</c:v>
                </c:pt>
                <c:pt idx="1">
                  <c:v>-1.23</c:v>
                </c:pt>
              </c:numCache>
            </c:numRef>
          </c:val>
          <c:smooth val="0"/>
          <c:extLst>
            <c:ext xmlns:c16="http://schemas.microsoft.com/office/drawing/2014/chart" uri="{C3380CC4-5D6E-409C-BE32-E72D297353CC}">
              <c16:uniqueId val="{00000005-5089-4734-9BD0-FB05BC362BBB}"/>
            </c:ext>
          </c:extLst>
        </c:ser>
        <c:dLbls>
          <c:dLblPos val="t"/>
          <c:showLegendKey val="0"/>
          <c:showVal val="1"/>
          <c:showCatName val="0"/>
          <c:showSerName val="0"/>
          <c:showPercent val="0"/>
          <c:showBubbleSize val="0"/>
        </c:dLbls>
        <c:marker val="1"/>
        <c:smooth val="0"/>
        <c:axId val="1309996080"/>
        <c:axId val="1309979760"/>
        <c:extLst>
          <c:ext xmlns:c15="http://schemas.microsoft.com/office/drawing/2012/chart" uri="{02D57815-91ED-43cb-92C2-25804820EDAC}">
            <c15:filteredLineSeries>
              <c15:ser>
                <c:idx val="5"/>
                <c:order val="0"/>
                <c:tx>
                  <c:strRef>
                    <c:extLst>
                      <c:ext uri="{02D57815-91ED-43cb-92C2-25804820EDAC}">
                        <c15:formulaRef>
                          <c15:sqref>Wskaźniki!$B$21</c15:sqref>
                        </c15:formulaRef>
                      </c:ext>
                    </c:extLst>
                    <c:strCache>
                      <c:ptCount val="1"/>
                      <c:pt idx="0">
                        <c:v>Płynność bieżąca</c:v>
                      </c:pt>
                    </c:strCache>
                  </c:strRef>
                </c:tx>
                <c:marker>
                  <c:symbol val="none"/>
                </c:marker>
                <c:dLbls>
                  <c:spPr>
                    <a:noFill/>
                    <a:ln>
                      <a:noFill/>
                    </a:ln>
                    <a:effectLst/>
                  </c:spPr>
                  <c:dLblPos val="t"/>
                  <c:showLegendKey val="0"/>
                  <c:showVal val="1"/>
                  <c:showCatName val="0"/>
                  <c:showSerName val="0"/>
                  <c:showPercent val="0"/>
                  <c:showBubbleSize val="0"/>
                  <c:showLeaderLines val="0"/>
                  <c:extLst>
                    <c:ext uri="{CE6537A1-D6FC-4f65-9D91-7224C49458BB}">
                      <c15:showLeaderLines val="1"/>
                    </c:ext>
                  </c:extLst>
                </c:dLbls>
                <c:cat>
                  <c:strRef>
                    <c:extLst>
                      <c:ex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uri="{02D57815-91ED-43cb-92C2-25804820EDAC}">
                        <c15:fullRef>
                          <c15:sqref>Wskaźniki!$C$21:$E$21</c15:sqref>
                        </c15:fullRef>
                        <c15:formulaRef>
                          <c15:sqref>Wskaźniki!$C$21:$D$21</c15:sqref>
                        </c15:formulaRef>
                      </c:ext>
                    </c:extLst>
                    <c:numCache>
                      <c:formatCode>0.00</c:formatCode>
                      <c:ptCount val="2"/>
                      <c:pt idx="0">
                        <c:v>0.44728113378228967</c:v>
                      </c:pt>
                      <c:pt idx="1">
                        <c:v>0.81273178524562095</c:v>
                      </c:pt>
                    </c:numCache>
                  </c:numRef>
                </c:val>
                <c:smooth val="0"/>
                <c:extLst>
                  <c:ext xmlns:c16="http://schemas.microsoft.com/office/drawing/2014/chart" uri="{C3380CC4-5D6E-409C-BE32-E72D297353CC}">
                    <c16:uniqueId val="{00000006-5089-4734-9BD0-FB05BC362BBB}"/>
                  </c:ext>
                </c:extLst>
              </c15:ser>
            </c15:filteredLineSeries>
            <c15:filteredLineSeries>
              <c15:ser>
                <c:idx val="6"/>
                <c:order val="1"/>
                <c:tx>
                  <c:strRef>
                    <c:extLst xmlns:c15="http://schemas.microsoft.com/office/drawing/2012/chart">
                      <c:ext xmlns:c15="http://schemas.microsoft.com/office/drawing/2012/chart" uri="{02D57815-91ED-43cb-92C2-25804820EDAC}">
                        <c15:formulaRef>
                          <c15:sqref>Wskaźniki!$B$22</c15:sqref>
                        </c15:formulaRef>
                      </c:ext>
                    </c:extLst>
                    <c:strCache>
                      <c:ptCount val="1"/>
                      <c:pt idx="0">
                        <c:v>Płynnośc szybka</c:v>
                      </c:pt>
                    </c:strCache>
                  </c:strRef>
                </c:tx>
                <c:marker>
                  <c:symbol val="none"/>
                </c:marker>
                <c:dLbls>
                  <c:spPr>
                    <a:noFill/>
                    <a:ln>
                      <a:noFill/>
                    </a:ln>
                    <a:effectLst/>
                  </c:sp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Wskaźniki!$C$22:$E$22</c15:sqref>
                        </c15:fullRef>
                        <c15:formulaRef>
                          <c15:sqref>Wskaźniki!$C$22:$D$22</c15:sqref>
                        </c15:formulaRef>
                      </c:ext>
                    </c:extLst>
                    <c:numCache>
                      <c:formatCode>0.00</c:formatCode>
                      <c:ptCount val="2"/>
                      <c:pt idx="0">
                        <c:v>0.5809182385722742</c:v>
                      </c:pt>
                      <c:pt idx="1">
                        <c:v>0.97988817253380489</c:v>
                      </c:pt>
                    </c:numCache>
                  </c:numRef>
                </c:val>
                <c:smooth val="0"/>
                <c:extLst xmlns:c15="http://schemas.microsoft.com/office/drawing/2012/chart">
                  <c:ext xmlns:c16="http://schemas.microsoft.com/office/drawing/2014/chart" uri="{C3380CC4-5D6E-409C-BE32-E72D297353CC}">
                    <c16:uniqueId val="{00000007-5089-4734-9BD0-FB05BC362BBB}"/>
                  </c:ext>
                </c:extLst>
              </c15:ser>
            </c15:filteredLineSeries>
            <c15:filteredLineSeries>
              <c15:ser>
                <c:idx val="7"/>
                <c:order val="2"/>
                <c:tx>
                  <c:strRef>
                    <c:extLst xmlns:c15="http://schemas.microsoft.com/office/drawing/2012/chart">
                      <c:ext xmlns:c15="http://schemas.microsoft.com/office/drawing/2012/chart" uri="{02D57815-91ED-43cb-92C2-25804820EDAC}">
                        <c15:formulaRef>
                          <c15:sqref>Wskaźniki!$B$23</c15:sqref>
                        </c15:formulaRef>
                      </c:ext>
                    </c:extLst>
                    <c:strCache>
                      <c:ptCount val="1"/>
                      <c:pt idx="0">
                        <c:v>Płynność gotówkowa</c:v>
                      </c:pt>
                    </c:strCache>
                  </c:strRef>
                </c:tx>
                <c:marker>
                  <c:symbol val="none"/>
                </c:marker>
                <c:dLbls>
                  <c:spPr>
                    <a:noFill/>
                    <a:ln>
                      <a:noFill/>
                    </a:ln>
                    <a:effectLst/>
                  </c:sp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Wskaźniki!$C$23:$E$23</c15:sqref>
                        </c15:fullRef>
                        <c15:formulaRef>
                          <c15:sqref>Wskaźniki!$C$23:$D$23</c15:sqref>
                        </c15:formulaRef>
                      </c:ext>
                    </c:extLst>
                    <c:numCache>
                      <c:formatCode>0.00</c:formatCode>
                      <c:ptCount val="2"/>
                      <c:pt idx="0">
                        <c:v>0.30051038071944697</c:v>
                      </c:pt>
                      <c:pt idx="1">
                        <c:v>0.69006390140925422</c:v>
                      </c:pt>
                    </c:numCache>
                  </c:numRef>
                </c:val>
                <c:smooth val="0"/>
                <c:extLst xmlns:c15="http://schemas.microsoft.com/office/drawing/2012/chart">
                  <c:ext xmlns:c16="http://schemas.microsoft.com/office/drawing/2014/chart" uri="{C3380CC4-5D6E-409C-BE32-E72D297353CC}">
                    <c16:uniqueId val="{00000008-5089-4734-9BD0-FB05BC362BBB}"/>
                  </c:ext>
                </c:extLst>
              </c15:ser>
            </c15:filteredLineSeries>
            <c15:filteredLineSeries>
              <c15:ser>
                <c:idx val="8"/>
                <c:order val="3"/>
                <c:tx>
                  <c:strRef>
                    <c:extLst xmlns:c15="http://schemas.microsoft.com/office/drawing/2012/chart">
                      <c:ext xmlns:c15="http://schemas.microsoft.com/office/drawing/2012/chart" uri="{02D57815-91ED-43cb-92C2-25804820EDAC}">
                        <c15:formulaRef>
                          <c15:sqref>Wskaźniki!$B$24</c15:sqref>
                        </c15:formulaRef>
                      </c:ext>
                    </c:extLst>
                    <c:strCache>
                      <c:ptCount val="1"/>
                      <c:pt idx="0">
                        <c:v>Wskaźnik bieżącej wypłacalności</c:v>
                      </c:pt>
                    </c:strCache>
                  </c:strRef>
                </c:tx>
                <c:marker>
                  <c:symbol val="none"/>
                </c:marker>
                <c:dLbls>
                  <c:spPr>
                    <a:noFill/>
                    <a:ln>
                      <a:noFill/>
                    </a:ln>
                    <a:effectLst/>
                  </c:sp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Wskaźniki!$C$24:$E$24</c15:sqref>
                        </c15:fullRef>
                        <c15:formulaRef>
                          <c15:sqref>Wskaźniki!$C$24:$D$24</c15:sqref>
                        </c15:formulaRef>
                      </c:ext>
                    </c:extLst>
                    <c:numCache>
                      <c:formatCode>0.00</c:formatCode>
                      <c:ptCount val="2"/>
                      <c:pt idx="0">
                        <c:v>3.2735886934875134</c:v>
                      </c:pt>
                      <c:pt idx="1">
                        <c:v>5.988899918779893</c:v>
                      </c:pt>
                    </c:numCache>
                  </c:numRef>
                </c:val>
                <c:smooth val="0"/>
                <c:extLst xmlns:c15="http://schemas.microsoft.com/office/drawing/2012/chart">
                  <c:ext xmlns:c16="http://schemas.microsoft.com/office/drawing/2014/chart" uri="{C3380CC4-5D6E-409C-BE32-E72D297353CC}">
                    <c16:uniqueId val="{00000009-5089-4734-9BD0-FB05BC362BBB}"/>
                  </c:ext>
                </c:extLst>
              </c15:ser>
            </c15:filteredLineSeries>
            <c15:filteredLineSeries>
              <c15:ser>
                <c:idx val="0"/>
                <c:order val="5"/>
                <c:tx>
                  <c:strRef>
                    <c:extLst xmlns:c15="http://schemas.microsoft.com/office/drawing/2012/chart">
                      <c:ext xmlns:c15="http://schemas.microsoft.com/office/drawing/2012/chart" uri="{02D57815-91ED-43cb-92C2-25804820EDAC}">
                        <c15:formulaRef>
                          <c15:sqref>Wskaźniki!$B$21</c15:sqref>
                        </c15:formulaRef>
                      </c:ext>
                    </c:extLst>
                    <c:strCache>
                      <c:ptCount val="1"/>
                      <c:pt idx="0">
                        <c:v>Płynność bieżąca</c:v>
                      </c:pt>
                    </c:strCache>
                  </c:strRef>
                </c:tx>
                <c:spPr>
                  <a:ln w="28575" cap="rnd">
                    <a:solidFill>
                      <a:schemeClr val="accent1"/>
                    </a:solidFill>
                    <a:round/>
                  </a:ln>
                  <a:effectLst/>
                </c:spPr>
                <c:marker>
                  <c:symbol val="none"/>
                </c:marker>
                <c:dLbls>
                  <c:spPr>
                    <a:noFill/>
                    <a:ln>
                      <a:noFill/>
                    </a:ln>
                    <a:effectLst/>
                  </c:sp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Wskaźniki!$C$21:$E$21</c15:sqref>
                        </c15:fullRef>
                        <c15:formulaRef>
                          <c15:sqref>Wskaźniki!$C$21:$D$21</c15:sqref>
                        </c15:formulaRef>
                      </c:ext>
                    </c:extLst>
                    <c:numCache>
                      <c:formatCode>0.00</c:formatCode>
                      <c:ptCount val="2"/>
                      <c:pt idx="0">
                        <c:v>0.44728113378228967</c:v>
                      </c:pt>
                      <c:pt idx="1">
                        <c:v>0.81273178524562095</c:v>
                      </c:pt>
                    </c:numCache>
                  </c:numRef>
                </c:val>
                <c:smooth val="0"/>
                <c:extLst xmlns:c15="http://schemas.microsoft.com/office/drawing/2012/chart">
                  <c:ext xmlns:c16="http://schemas.microsoft.com/office/drawing/2014/chart" uri="{C3380CC4-5D6E-409C-BE32-E72D297353CC}">
                    <c16:uniqueId val="{0000000A-5089-4734-9BD0-FB05BC362BBB}"/>
                  </c:ext>
                </c:extLst>
              </c15:ser>
            </c15:filteredLineSeries>
            <c15:filteredLineSeries>
              <c15:ser>
                <c:idx val="1"/>
                <c:order val="6"/>
                <c:tx>
                  <c:strRef>
                    <c:extLst xmlns:c15="http://schemas.microsoft.com/office/drawing/2012/chart">
                      <c:ext xmlns:c15="http://schemas.microsoft.com/office/drawing/2012/chart" uri="{02D57815-91ED-43cb-92C2-25804820EDAC}">
                        <c15:formulaRef>
                          <c15:sqref>Wskaźniki!$B$22</c15:sqref>
                        </c15:formulaRef>
                      </c:ext>
                    </c:extLst>
                    <c:strCache>
                      <c:ptCount val="1"/>
                      <c:pt idx="0">
                        <c:v>Płynnośc szybka</c:v>
                      </c:pt>
                    </c:strCache>
                  </c:strRef>
                </c:tx>
                <c:spPr>
                  <a:ln w="28575" cap="rnd">
                    <a:solidFill>
                      <a:schemeClr val="accent2"/>
                    </a:solidFill>
                    <a:round/>
                  </a:ln>
                  <a:effectLst/>
                </c:spPr>
                <c:marker>
                  <c:symbol val="none"/>
                </c:marker>
                <c:dLbls>
                  <c:spPr>
                    <a:noFill/>
                    <a:ln>
                      <a:noFill/>
                    </a:ln>
                    <a:effectLst/>
                  </c:sp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Wskaźniki!$C$22:$E$22</c15:sqref>
                        </c15:fullRef>
                        <c15:formulaRef>
                          <c15:sqref>Wskaźniki!$C$22:$D$22</c15:sqref>
                        </c15:formulaRef>
                      </c:ext>
                    </c:extLst>
                    <c:numCache>
                      <c:formatCode>0.00</c:formatCode>
                      <c:ptCount val="2"/>
                      <c:pt idx="0">
                        <c:v>0.5809182385722742</c:v>
                      </c:pt>
                      <c:pt idx="1">
                        <c:v>0.97988817253380489</c:v>
                      </c:pt>
                    </c:numCache>
                  </c:numRef>
                </c:val>
                <c:smooth val="0"/>
                <c:extLst xmlns:c15="http://schemas.microsoft.com/office/drawing/2012/chart">
                  <c:ext xmlns:c16="http://schemas.microsoft.com/office/drawing/2014/chart" uri="{C3380CC4-5D6E-409C-BE32-E72D297353CC}">
                    <c16:uniqueId val="{0000000B-5089-4734-9BD0-FB05BC362BBB}"/>
                  </c:ext>
                </c:extLst>
              </c15:ser>
            </c15:filteredLineSeries>
            <c15:filteredLineSeries>
              <c15:ser>
                <c:idx val="2"/>
                <c:order val="7"/>
                <c:tx>
                  <c:strRef>
                    <c:extLst xmlns:c15="http://schemas.microsoft.com/office/drawing/2012/chart">
                      <c:ext xmlns:c15="http://schemas.microsoft.com/office/drawing/2012/chart" uri="{02D57815-91ED-43cb-92C2-25804820EDAC}">
                        <c15:formulaRef>
                          <c15:sqref>Wskaźniki!$B$23</c15:sqref>
                        </c15:formulaRef>
                      </c:ext>
                    </c:extLst>
                    <c:strCache>
                      <c:ptCount val="1"/>
                      <c:pt idx="0">
                        <c:v>Płynność gotówkowa</c:v>
                      </c:pt>
                    </c:strCache>
                  </c:strRef>
                </c:tx>
                <c:spPr>
                  <a:ln w="28575" cap="rnd">
                    <a:solidFill>
                      <a:schemeClr val="accent3"/>
                    </a:solidFill>
                    <a:round/>
                  </a:ln>
                  <a:effectLst/>
                </c:spPr>
                <c:marker>
                  <c:symbol val="none"/>
                </c:marker>
                <c:dLbls>
                  <c:spPr>
                    <a:noFill/>
                    <a:ln>
                      <a:noFill/>
                    </a:ln>
                    <a:effectLst/>
                  </c:sp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Wskaźniki!$C$23:$E$23</c15:sqref>
                        </c15:fullRef>
                        <c15:formulaRef>
                          <c15:sqref>Wskaźniki!$C$23:$D$23</c15:sqref>
                        </c15:formulaRef>
                      </c:ext>
                    </c:extLst>
                    <c:numCache>
                      <c:formatCode>0.00</c:formatCode>
                      <c:ptCount val="2"/>
                      <c:pt idx="0">
                        <c:v>0.30051038071944697</c:v>
                      </c:pt>
                      <c:pt idx="1">
                        <c:v>0.69006390140925422</c:v>
                      </c:pt>
                    </c:numCache>
                  </c:numRef>
                </c:val>
                <c:smooth val="0"/>
                <c:extLst xmlns:c15="http://schemas.microsoft.com/office/drawing/2012/chart">
                  <c:ext xmlns:c16="http://schemas.microsoft.com/office/drawing/2014/chart" uri="{C3380CC4-5D6E-409C-BE32-E72D297353CC}">
                    <c16:uniqueId val="{0000000C-5089-4734-9BD0-FB05BC362BBB}"/>
                  </c:ext>
                </c:extLst>
              </c15:ser>
            </c15:filteredLineSeries>
            <c15:filteredLineSeries>
              <c15:ser>
                <c:idx val="3"/>
                <c:order val="8"/>
                <c:tx>
                  <c:strRef>
                    <c:extLst xmlns:c15="http://schemas.microsoft.com/office/drawing/2012/chart">
                      <c:ext xmlns:c15="http://schemas.microsoft.com/office/drawing/2012/chart" uri="{02D57815-91ED-43cb-92C2-25804820EDAC}">
                        <c15:formulaRef>
                          <c15:sqref>Wskaźniki!$B$24</c15:sqref>
                        </c15:formulaRef>
                      </c:ext>
                    </c:extLst>
                    <c:strCache>
                      <c:ptCount val="1"/>
                      <c:pt idx="0">
                        <c:v>Wskaźnik bieżącej wypłacalności</c:v>
                      </c:pt>
                    </c:strCache>
                  </c:strRef>
                </c:tx>
                <c:spPr>
                  <a:ln w="28575" cap="rnd">
                    <a:solidFill>
                      <a:schemeClr val="accent4"/>
                    </a:solidFill>
                    <a:round/>
                  </a:ln>
                  <a:effectLst/>
                </c:spPr>
                <c:marker>
                  <c:symbol val="none"/>
                </c:marker>
                <c:dLbls>
                  <c:spPr>
                    <a:noFill/>
                    <a:ln>
                      <a:noFill/>
                    </a:ln>
                    <a:effectLst/>
                  </c:sp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Wskaźniki!$C$24:$E$24</c15:sqref>
                        </c15:fullRef>
                        <c15:formulaRef>
                          <c15:sqref>Wskaźniki!$C$24:$D$24</c15:sqref>
                        </c15:formulaRef>
                      </c:ext>
                    </c:extLst>
                    <c:numCache>
                      <c:formatCode>0.00</c:formatCode>
                      <c:ptCount val="2"/>
                      <c:pt idx="0">
                        <c:v>3.2735886934875134</c:v>
                      </c:pt>
                      <c:pt idx="1">
                        <c:v>5.988899918779893</c:v>
                      </c:pt>
                    </c:numCache>
                  </c:numRef>
                </c:val>
                <c:smooth val="0"/>
                <c:extLst xmlns:c15="http://schemas.microsoft.com/office/drawing/2012/chart">
                  <c:ext xmlns:c16="http://schemas.microsoft.com/office/drawing/2014/chart" uri="{C3380CC4-5D6E-409C-BE32-E72D297353CC}">
                    <c16:uniqueId val="{0000000D-5089-4734-9BD0-FB05BC362BBB}"/>
                  </c:ext>
                </c:extLst>
              </c15:ser>
            </c15:filteredLineSeries>
            <c15:filteredLineSeries>
              <c15:ser>
                <c:idx val="4"/>
                <c:order val="9"/>
                <c:tx>
                  <c:strRef>
                    <c:extLst xmlns:c15="http://schemas.microsoft.com/office/drawing/2012/chart">
                      <c:ext xmlns:c15="http://schemas.microsoft.com/office/drawing/2012/chart" uri="{02D57815-91ED-43cb-92C2-25804820EDAC}">
                        <c15:formulaRef>
                          <c15:sqref>Wskaźniki!$B$25</c15:sqref>
                        </c15:formulaRef>
                      </c:ext>
                    </c:extLst>
                    <c:strCache>
                      <c:ptCount val="1"/>
                      <c:pt idx="0">
                        <c:v>Rotacja zapasów</c:v>
                      </c:pt>
                    </c:strCache>
                  </c:strRef>
                </c:tx>
                <c:spPr>
                  <a:ln w="28575" cap="rnd">
                    <a:solidFill>
                      <a:schemeClr val="accent5"/>
                    </a:solidFill>
                    <a:round/>
                  </a:ln>
                  <a:effectLst/>
                </c:spPr>
                <c:marker>
                  <c:symbol val="none"/>
                </c:marker>
                <c:dLbls>
                  <c:spPr>
                    <a:noFill/>
                    <a:ln>
                      <a:noFill/>
                    </a:ln>
                    <a:effectLst/>
                  </c:sp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Wskaźniki!$C$25:$E$25</c15:sqref>
                        </c15:fullRef>
                        <c15:formulaRef>
                          <c15:sqref>Wskaźniki!$C$25:$D$25</c15:sqref>
                        </c15:formulaRef>
                      </c:ext>
                    </c:extLst>
                    <c:numCache>
                      <c:formatCode>0.00</c:formatCode>
                      <c:ptCount val="2"/>
                      <c:pt idx="0">
                        <c:v>-1.1599999999999999</c:v>
                      </c:pt>
                      <c:pt idx="1">
                        <c:v>-1.23</c:v>
                      </c:pt>
                    </c:numCache>
                  </c:numRef>
                </c:val>
                <c:smooth val="0"/>
                <c:extLst xmlns:c15="http://schemas.microsoft.com/office/drawing/2012/chart">
                  <c:ext xmlns:c16="http://schemas.microsoft.com/office/drawing/2014/chart" uri="{C3380CC4-5D6E-409C-BE32-E72D297353CC}">
                    <c16:uniqueId val="{0000000E-5089-4734-9BD0-FB05BC362BBB}"/>
                  </c:ext>
                </c:extLst>
              </c15:ser>
            </c15:filteredLineSeries>
          </c:ext>
        </c:extLst>
      </c:lineChart>
      <c:catAx>
        <c:axId val="1309996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pl-PL"/>
          </a:p>
        </c:txPr>
        <c:crossAx val="1309979760"/>
        <c:crosses val="autoZero"/>
        <c:auto val="1"/>
        <c:lblAlgn val="ctr"/>
        <c:lblOffset val="100"/>
        <c:noMultiLvlLbl val="0"/>
      </c:catAx>
      <c:valAx>
        <c:axId val="130997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309996080"/>
        <c:crosses val="autoZero"/>
        <c:crossBetween val="between"/>
      </c:valAx>
      <c:spPr>
        <a:ln>
          <a:solidFill>
            <a:sysClr val="windowText" lastClr="000000"/>
          </a:solidFill>
        </a:ln>
      </c:spPr>
    </c:plotArea>
    <c:plotVisOnly val="1"/>
    <c:dispBlanksAs val="gap"/>
    <c:showDLblsOverMax val="0"/>
  </c:chart>
  <c:spPr>
    <a:ln w="28575">
      <a:solidFill>
        <a:schemeClr val="tx1"/>
      </a:solidFill>
    </a:ln>
  </c:spPr>
  <c:txPr>
    <a:bodyPr/>
    <a:lstStyle/>
    <a:p>
      <a:pPr>
        <a:defRPr/>
      </a:pPr>
      <a:endParaRPr lang="pl-PL"/>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lineChart>
        <c:grouping val="standard"/>
        <c:varyColors val="0"/>
        <c:ser>
          <c:idx val="7"/>
          <c:order val="2"/>
          <c:tx>
            <c:strRef>
              <c:f>Wskaźniki!$B$23</c:f>
              <c:strCache>
                <c:ptCount val="1"/>
                <c:pt idx="0">
                  <c:v>Płynność gotówkowa</c:v>
                </c:pt>
              </c:strCache>
            </c:strRef>
          </c:tx>
          <c:spPr>
            <a:ln w="57150"/>
            <a:effectLst>
              <a:outerShdw blurRad="50800" dist="50800" dir="5400000" sx="1000" sy="1000" algn="ctr" rotWithShape="0">
                <a:srgbClr val="000000">
                  <a:alpha val="43137"/>
                </a:srgbClr>
              </a:outerShdw>
            </a:effectLst>
          </c:spPr>
          <c:marker>
            <c:symbol val="circle"/>
            <c:size val="15"/>
          </c:marker>
          <c:dLbls>
            <c:dLbl>
              <c:idx val="0"/>
              <c:layout>
                <c:manualLayout>
                  <c:x val="-2.9567628150058275E-3"/>
                  <c:y val="-2.21804519485396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552-4DDF-9CCD-8E0706AABE98}"/>
                </c:ext>
              </c:extLst>
            </c:dLbl>
            <c:dLbl>
              <c:idx val="1"/>
              <c:layout>
                <c:manualLayout>
                  <c:x val="-1.0348669852520503E-2"/>
                  <c:y val="-3.60432344163769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552-4DDF-9CCD-8E0706AABE98}"/>
                </c:ext>
              </c:extLst>
            </c:dLbl>
            <c:spPr>
              <a:noFill/>
              <a:ln>
                <a:noFill/>
              </a:ln>
              <a:effectLst/>
            </c:spPr>
            <c:txPr>
              <a:bodyPr wrap="square" lIns="38100" tIns="19050" rIns="38100" bIns="19050" anchor="ctr">
                <a:spAutoFit/>
              </a:bodyPr>
              <a:lstStyle/>
              <a:p>
                <a:pPr>
                  <a:defRPr sz="1600"/>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Wskaźniki!$C$20:$E$20</c15:sqref>
                  </c15:fullRef>
                </c:ext>
              </c:extLst>
              <c:f>Wskaźniki!$C$20:$D$20</c:f>
              <c:strCache>
                <c:ptCount val="2"/>
                <c:pt idx="0">
                  <c:v>Rok 2024</c:v>
                </c:pt>
                <c:pt idx="1">
                  <c:v>Rok 2023</c:v>
                </c:pt>
              </c:strCache>
            </c:strRef>
          </c:cat>
          <c:val>
            <c:numRef>
              <c:extLst>
                <c:ext xmlns:c15="http://schemas.microsoft.com/office/drawing/2012/chart" uri="{02D57815-91ED-43cb-92C2-25804820EDAC}">
                  <c15:fullRef>
                    <c15:sqref>Wskaźniki!$C$23:$E$23</c15:sqref>
                  </c15:fullRef>
                </c:ext>
              </c:extLst>
              <c:f>Wskaźniki!$C$23:$D$23</c:f>
              <c:numCache>
                <c:formatCode>0.00</c:formatCode>
                <c:ptCount val="2"/>
                <c:pt idx="0">
                  <c:v>0.30051038071944697</c:v>
                </c:pt>
                <c:pt idx="1">
                  <c:v>0.69006390140925422</c:v>
                </c:pt>
              </c:numCache>
            </c:numRef>
          </c:val>
          <c:smooth val="0"/>
          <c:extLst>
            <c:ext xmlns:c16="http://schemas.microsoft.com/office/drawing/2014/chart" uri="{C3380CC4-5D6E-409C-BE32-E72D297353CC}">
              <c16:uniqueId val="{00000002-A552-4DDF-9CCD-8E0706AABE98}"/>
            </c:ext>
          </c:extLst>
        </c:ser>
        <c:dLbls>
          <c:showLegendKey val="0"/>
          <c:showVal val="0"/>
          <c:showCatName val="0"/>
          <c:showSerName val="0"/>
          <c:showPercent val="0"/>
          <c:showBubbleSize val="0"/>
        </c:dLbls>
        <c:marker val="1"/>
        <c:smooth val="0"/>
        <c:axId val="1309996080"/>
        <c:axId val="1309979760"/>
        <c:extLst>
          <c:ext xmlns:c15="http://schemas.microsoft.com/office/drawing/2012/chart" uri="{02D57815-91ED-43cb-92C2-25804820EDAC}">
            <c15:filteredLineSeries>
              <c15:ser>
                <c:idx val="5"/>
                <c:order val="0"/>
                <c:tx>
                  <c:strRef>
                    <c:extLst>
                      <c:ext uri="{02D57815-91ED-43cb-92C2-25804820EDAC}">
                        <c15:formulaRef>
                          <c15:sqref>Wskaźniki!$B$21</c15:sqref>
                        </c15:formulaRef>
                      </c:ext>
                    </c:extLst>
                    <c:strCache>
                      <c:ptCount val="1"/>
                      <c:pt idx="0">
                        <c:v>Płynność bieżąca</c:v>
                      </c:pt>
                    </c:strCache>
                  </c:strRef>
                </c:tx>
                <c:marker>
                  <c:symbol val="none"/>
                </c:marker>
                <c:cat>
                  <c:strRef>
                    <c:extLst>
                      <c:ex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uri="{02D57815-91ED-43cb-92C2-25804820EDAC}">
                        <c15:fullRef>
                          <c15:sqref>Wskaźniki!$C$21:$E$21</c15:sqref>
                        </c15:fullRef>
                        <c15:formulaRef>
                          <c15:sqref>Wskaźniki!$C$21:$D$21</c15:sqref>
                        </c15:formulaRef>
                      </c:ext>
                    </c:extLst>
                    <c:numCache>
                      <c:formatCode>0.00</c:formatCode>
                      <c:ptCount val="2"/>
                      <c:pt idx="0">
                        <c:v>0.44728113378228967</c:v>
                      </c:pt>
                      <c:pt idx="1">
                        <c:v>0.81273178524562095</c:v>
                      </c:pt>
                    </c:numCache>
                  </c:numRef>
                </c:val>
                <c:smooth val="0"/>
                <c:extLst>
                  <c:ext xmlns:c16="http://schemas.microsoft.com/office/drawing/2014/chart" uri="{C3380CC4-5D6E-409C-BE32-E72D297353CC}">
                    <c16:uniqueId val="{00000003-A552-4DDF-9CCD-8E0706AABE98}"/>
                  </c:ext>
                </c:extLst>
              </c15:ser>
            </c15:filteredLineSeries>
            <c15:filteredLineSeries>
              <c15:ser>
                <c:idx val="6"/>
                <c:order val="1"/>
                <c:tx>
                  <c:strRef>
                    <c:extLst xmlns:c15="http://schemas.microsoft.com/office/drawing/2012/chart">
                      <c:ext xmlns:c15="http://schemas.microsoft.com/office/drawing/2012/chart" uri="{02D57815-91ED-43cb-92C2-25804820EDAC}">
                        <c15:formulaRef>
                          <c15:sqref>Wskaźniki!$B$22</c15:sqref>
                        </c15:formulaRef>
                      </c:ext>
                    </c:extLst>
                    <c:strCache>
                      <c:ptCount val="1"/>
                      <c:pt idx="0">
                        <c:v>Płynnośc szybka</c:v>
                      </c:pt>
                    </c:strCache>
                  </c:strRef>
                </c:tx>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Wskaźniki!$C$22:$E$22</c15:sqref>
                        </c15:fullRef>
                        <c15:formulaRef>
                          <c15:sqref>Wskaźniki!$C$22:$D$22</c15:sqref>
                        </c15:formulaRef>
                      </c:ext>
                    </c:extLst>
                    <c:numCache>
                      <c:formatCode>0.00</c:formatCode>
                      <c:ptCount val="2"/>
                      <c:pt idx="0">
                        <c:v>0.5809182385722742</c:v>
                      </c:pt>
                      <c:pt idx="1">
                        <c:v>0.97988817253380489</c:v>
                      </c:pt>
                    </c:numCache>
                  </c:numRef>
                </c:val>
                <c:smooth val="0"/>
                <c:extLst xmlns:c15="http://schemas.microsoft.com/office/drawing/2012/chart">
                  <c:ext xmlns:c16="http://schemas.microsoft.com/office/drawing/2014/chart" uri="{C3380CC4-5D6E-409C-BE32-E72D297353CC}">
                    <c16:uniqueId val="{00000004-A552-4DDF-9CCD-8E0706AABE98}"/>
                  </c:ext>
                </c:extLst>
              </c15:ser>
            </c15:filteredLineSeries>
            <c15:filteredLineSeries>
              <c15:ser>
                <c:idx val="8"/>
                <c:order val="3"/>
                <c:tx>
                  <c:strRef>
                    <c:extLst xmlns:c15="http://schemas.microsoft.com/office/drawing/2012/chart">
                      <c:ext xmlns:c15="http://schemas.microsoft.com/office/drawing/2012/chart" uri="{02D57815-91ED-43cb-92C2-25804820EDAC}">
                        <c15:formulaRef>
                          <c15:sqref>Wskaźniki!$B$24</c15:sqref>
                        </c15:formulaRef>
                      </c:ext>
                    </c:extLst>
                    <c:strCache>
                      <c:ptCount val="1"/>
                      <c:pt idx="0">
                        <c:v>Wskaźnik bieżącej wypłacalności</c:v>
                      </c:pt>
                    </c:strCache>
                  </c:strRef>
                </c:tx>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Wskaźniki!$C$24:$E$24</c15:sqref>
                        </c15:fullRef>
                        <c15:formulaRef>
                          <c15:sqref>Wskaźniki!$C$24:$D$24</c15:sqref>
                        </c15:formulaRef>
                      </c:ext>
                    </c:extLst>
                    <c:numCache>
                      <c:formatCode>0.00</c:formatCode>
                      <c:ptCount val="2"/>
                      <c:pt idx="0">
                        <c:v>3.2735886934875134</c:v>
                      </c:pt>
                      <c:pt idx="1">
                        <c:v>5.988899918779893</c:v>
                      </c:pt>
                    </c:numCache>
                  </c:numRef>
                </c:val>
                <c:smooth val="0"/>
                <c:extLst xmlns:c15="http://schemas.microsoft.com/office/drawing/2012/chart">
                  <c:ext xmlns:c16="http://schemas.microsoft.com/office/drawing/2014/chart" uri="{C3380CC4-5D6E-409C-BE32-E72D297353CC}">
                    <c16:uniqueId val="{00000005-A552-4DDF-9CCD-8E0706AABE98}"/>
                  </c:ext>
                </c:extLst>
              </c15:ser>
            </c15:filteredLineSeries>
            <c15:filteredLineSeries>
              <c15:ser>
                <c:idx val="9"/>
                <c:order val="4"/>
                <c:tx>
                  <c:strRef>
                    <c:extLst xmlns:c15="http://schemas.microsoft.com/office/drawing/2012/chart">
                      <c:ext xmlns:c15="http://schemas.microsoft.com/office/drawing/2012/chart" uri="{02D57815-91ED-43cb-92C2-25804820EDAC}">
                        <c15:formulaRef>
                          <c15:sqref>Wskaźniki!$B$25</c15:sqref>
                        </c15:formulaRef>
                      </c:ext>
                    </c:extLst>
                    <c:strCache>
                      <c:ptCount val="1"/>
                      <c:pt idx="0">
                        <c:v>Rotacja zapasów</c:v>
                      </c:pt>
                    </c:strCache>
                  </c:strRef>
                </c:tx>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Wskaźniki!$C$25:$E$25</c15:sqref>
                        </c15:fullRef>
                        <c15:formulaRef>
                          <c15:sqref>Wskaźniki!$C$25:$D$25</c15:sqref>
                        </c15:formulaRef>
                      </c:ext>
                    </c:extLst>
                    <c:numCache>
                      <c:formatCode>0.00</c:formatCode>
                      <c:ptCount val="2"/>
                      <c:pt idx="0">
                        <c:v>-1.1599999999999999</c:v>
                      </c:pt>
                      <c:pt idx="1">
                        <c:v>-1.23</c:v>
                      </c:pt>
                    </c:numCache>
                  </c:numRef>
                </c:val>
                <c:smooth val="0"/>
                <c:extLst xmlns:c15="http://schemas.microsoft.com/office/drawing/2012/chart">
                  <c:ext xmlns:c16="http://schemas.microsoft.com/office/drawing/2014/chart" uri="{C3380CC4-5D6E-409C-BE32-E72D297353CC}">
                    <c16:uniqueId val="{00000006-A552-4DDF-9CCD-8E0706AABE98}"/>
                  </c:ext>
                </c:extLst>
              </c15:ser>
            </c15:filteredLineSeries>
            <c15:filteredLineSeries>
              <c15:ser>
                <c:idx val="0"/>
                <c:order val="5"/>
                <c:tx>
                  <c:strRef>
                    <c:extLst xmlns:c15="http://schemas.microsoft.com/office/drawing/2012/chart">
                      <c:ext xmlns:c15="http://schemas.microsoft.com/office/drawing/2012/chart" uri="{02D57815-91ED-43cb-92C2-25804820EDAC}">
                        <c15:formulaRef>
                          <c15:sqref>Wskaźniki!$B$21</c15:sqref>
                        </c15:formulaRef>
                      </c:ext>
                    </c:extLst>
                    <c:strCache>
                      <c:ptCount val="1"/>
                      <c:pt idx="0">
                        <c:v>Płynność bieżąca</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Wskaźniki!$C$21:$E$21</c15:sqref>
                        </c15:fullRef>
                        <c15:formulaRef>
                          <c15:sqref>Wskaźniki!$C$21:$D$21</c15:sqref>
                        </c15:formulaRef>
                      </c:ext>
                    </c:extLst>
                    <c:numCache>
                      <c:formatCode>0.00</c:formatCode>
                      <c:ptCount val="2"/>
                      <c:pt idx="0">
                        <c:v>0.44728113378228967</c:v>
                      </c:pt>
                      <c:pt idx="1">
                        <c:v>0.81273178524562095</c:v>
                      </c:pt>
                    </c:numCache>
                  </c:numRef>
                </c:val>
                <c:smooth val="0"/>
                <c:extLst xmlns:c15="http://schemas.microsoft.com/office/drawing/2012/chart">
                  <c:ext xmlns:c16="http://schemas.microsoft.com/office/drawing/2014/chart" uri="{C3380CC4-5D6E-409C-BE32-E72D297353CC}">
                    <c16:uniqueId val="{00000007-A552-4DDF-9CCD-8E0706AABE98}"/>
                  </c:ext>
                </c:extLst>
              </c15:ser>
            </c15:filteredLineSeries>
            <c15:filteredLineSeries>
              <c15:ser>
                <c:idx val="1"/>
                <c:order val="6"/>
                <c:tx>
                  <c:strRef>
                    <c:extLst xmlns:c15="http://schemas.microsoft.com/office/drawing/2012/chart">
                      <c:ext xmlns:c15="http://schemas.microsoft.com/office/drawing/2012/chart" uri="{02D57815-91ED-43cb-92C2-25804820EDAC}">
                        <c15:formulaRef>
                          <c15:sqref>Wskaźniki!$B$22</c15:sqref>
                        </c15:formulaRef>
                      </c:ext>
                    </c:extLst>
                    <c:strCache>
                      <c:ptCount val="1"/>
                      <c:pt idx="0">
                        <c:v>Płynnośc szybka</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Wskaźniki!$C$22:$E$22</c15:sqref>
                        </c15:fullRef>
                        <c15:formulaRef>
                          <c15:sqref>Wskaźniki!$C$22:$D$22</c15:sqref>
                        </c15:formulaRef>
                      </c:ext>
                    </c:extLst>
                    <c:numCache>
                      <c:formatCode>0.00</c:formatCode>
                      <c:ptCount val="2"/>
                      <c:pt idx="0">
                        <c:v>0.5809182385722742</c:v>
                      </c:pt>
                      <c:pt idx="1">
                        <c:v>0.97988817253380489</c:v>
                      </c:pt>
                    </c:numCache>
                  </c:numRef>
                </c:val>
                <c:smooth val="0"/>
                <c:extLst xmlns:c15="http://schemas.microsoft.com/office/drawing/2012/chart">
                  <c:ext xmlns:c16="http://schemas.microsoft.com/office/drawing/2014/chart" uri="{C3380CC4-5D6E-409C-BE32-E72D297353CC}">
                    <c16:uniqueId val="{00000008-A552-4DDF-9CCD-8E0706AABE98}"/>
                  </c:ext>
                </c:extLst>
              </c15:ser>
            </c15:filteredLineSeries>
            <c15:filteredLineSeries>
              <c15:ser>
                <c:idx val="2"/>
                <c:order val="7"/>
                <c:tx>
                  <c:strRef>
                    <c:extLst xmlns:c15="http://schemas.microsoft.com/office/drawing/2012/chart">
                      <c:ext xmlns:c15="http://schemas.microsoft.com/office/drawing/2012/chart" uri="{02D57815-91ED-43cb-92C2-25804820EDAC}">
                        <c15:formulaRef>
                          <c15:sqref>Wskaźniki!$B$23</c15:sqref>
                        </c15:formulaRef>
                      </c:ext>
                    </c:extLst>
                    <c:strCache>
                      <c:ptCount val="1"/>
                      <c:pt idx="0">
                        <c:v>Płynność gotówkowa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Wskaźniki!$C$23:$E$23</c15:sqref>
                        </c15:fullRef>
                        <c15:formulaRef>
                          <c15:sqref>Wskaźniki!$C$23:$D$23</c15:sqref>
                        </c15:formulaRef>
                      </c:ext>
                    </c:extLst>
                    <c:numCache>
                      <c:formatCode>0.00</c:formatCode>
                      <c:ptCount val="2"/>
                      <c:pt idx="0">
                        <c:v>0.30051038071944697</c:v>
                      </c:pt>
                      <c:pt idx="1">
                        <c:v>0.69006390140925422</c:v>
                      </c:pt>
                    </c:numCache>
                  </c:numRef>
                </c:val>
                <c:smooth val="0"/>
                <c:extLst xmlns:c15="http://schemas.microsoft.com/office/drawing/2012/chart">
                  <c:ext xmlns:c16="http://schemas.microsoft.com/office/drawing/2014/chart" uri="{C3380CC4-5D6E-409C-BE32-E72D297353CC}">
                    <c16:uniqueId val="{00000009-A552-4DDF-9CCD-8E0706AABE98}"/>
                  </c:ext>
                </c:extLst>
              </c15:ser>
            </c15:filteredLineSeries>
            <c15:filteredLineSeries>
              <c15:ser>
                <c:idx val="3"/>
                <c:order val="8"/>
                <c:tx>
                  <c:strRef>
                    <c:extLst xmlns:c15="http://schemas.microsoft.com/office/drawing/2012/chart">
                      <c:ext xmlns:c15="http://schemas.microsoft.com/office/drawing/2012/chart" uri="{02D57815-91ED-43cb-92C2-25804820EDAC}">
                        <c15:formulaRef>
                          <c15:sqref>Wskaźniki!$B$24</c15:sqref>
                        </c15:formulaRef>
                      </c:ext>
                    </c:extLst>
                    <c:strCache>
                      <c:ptCount val="1"/>
                      <c:pt idx="0">
                        <c:v>Wskaźnik bieżącej wypłacalności</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Wskaźniki!$C$24:$E$24</c15:sqref>
                        </c15:fullRef>
                        <c15:formulaRef>
                          <c15:sqref>Wskaźniki!$C$24:$D$24</c15:sqref>
                        </c15:formulaRef>
                      </c:ext>
                    </c:extLst>
                    <c:numCache>
                      <c:formatCode>0.00</c:formatCode>
                      <c:ptCount val="2"/>
                      <c:pt idx="0">
                        <c:v>3.2735886934875134</c:v>
                      </c:pt>
                      <c:pt idx="1">
                        <c:v>5.988899918779893</c:v>
                      </c:pt>
                    </c:numCache>
                  </c:numRef>
                </c:val>
                <c:smooth val="0"/>
                <c:extLst xmlns:c15="http://schemas.microsoft.com/office/drawing/2012/chart">
                  <c:ext xmlns:c16="http://schemas.microsoft.com/office/drawing/2014/chart" uri="{C3380CC4-5D6E-409C-BE32-E72D297353CC}">
                    <c16:uniqueId val="{0000000A-A552-4DDF-9CCD-8E0706AABE98}"/>
                  </c:ext>
                </c:extLst>
              </c15:ser>
            </c15:filteredLineSeries>
            <c15:filteredLineSeries>
              <c15:ser>
                <c:idx val="4"/>
                <c:order val="9"/>
                <c:tx>
                  <c:strRef>
                    <c:extLst xmlns:c15="http://schemas.microsoft.com/office/drawing/2012/chart">
                      <c:ext xmlns:c15="http://schemas.microsoft.com/office/drawing/2012/chart" uri="{02D57815-91ED-43cb-92C2-25804820EDAC}">
                        <c15:formulaRef>
                          <c15:sqref>Wskaźniki!$B$25</c15:sqref>
                        </c15:formulaRef>
                      </c:ext>
                    </c:extLst>
                    <c:strCache>
                      <c:ptCount val="1"/>
                      <c:pt idx="0">
                        <c:v>Rotacja zapasów</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Wskaźniki!$C$20:$E$20</c15:sqref>
                        </c15:fullRef>
                        <c15:formulaRef>
                          <c15:sqref>Wskaźniki!$C$20:$D$20</c15:sqref>
                        </c15:formulaRef>
                      </c:ext>
                    </c:extLst>
                    <c:strCache>
                      <c:ptCount val="2"/>
                      <c:pt idx="0">
                        <c:v>Rok 2024</c:v>
                      </c:pt>
                      <c:pt idx="1">
                        <c:v>Rok 2023</c:v>
                      </c:pt>
                    </c:strCache>
                  </c:strRef>
                </c:cat>
                <c:val>
                  <c:numRef>
                    <c:extLst>
                      <c:ext xmlns:c15="http://schemas.microsoft.com/office/drawing/2012/chart" uri="{02D57815-91ED-43cb-92C2-25804820EDAC}">
                        <c15:fullRef>
                          <c15:sqref>Wskaźniki!$C$25:$E$25</c15:sqref>
                        </c15:fullRef>
                        <c15:formulaRef>
                          <c15:sqref>Wskaźniki!$C$25:$D$25</c15:sqref>
                        </c15:formulaRef>
                      </c:ext>
                    </c:extLst>
                    <c:numCache>
                      <c:formatCode>0.00</c:formatCode>
                      <c:ptCount val="2"/>
                      <c:pt idx="0">
                        <c:v>-1.1599999999999999</c:v>
                      </c:pt>
                      <c:pt idx="1">
                        <c:v>-1.23</c:v>
                      </c:pt>
                    </c:numCache>
                  </c:numRef>
                </c:val>
                <c:smooth val="0"/>
                <c:extLst xmlns:c15="http://schemas.microsoft.com/office/drawing/2012/chart">
                  <c:ext xmlns:c16="http://schemas.microsoft.com/office/drawing/2014/chart" uri="{C3380CC4-5D6E-409C-BE32-E72D297353CC}">
                    <c16:uniqueId val="{0000000B-A552-4DDF-9CCD-8E0706AABE98}"/>
                  </c:ext>
                </c:extLst>
              </c15:ser>
            </c15:filteredLineSeries>
          </c:ext>
        </c:extLst>
      </c:lineChart>
      <c:catAx>
        <c:axId val="130999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pl-PL"/>
          </a:p>
        </c:txPr>
        <c:crossAx val="1309979760"/>
        <c:crosses val="autoZero"/>
        <c:auto val="1"/>
        <c:lblAlgn val="ctr"/>
        <c:lblOffset val="100"/>
        <c:noMultiLvlLbl val="0"/>
      </c:catAx>
      <c:valAx>
        <c:axId val="130997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309996080"/>
        <c:crosses val="autoZero"/>
        <c:crossBetween val="between"/>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ln w="28575">
      <a:solidFill>
        <a:sysClr val="windowText" lastClr="000000"/>
      </a:solidFill>
    </a:ln>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335280</xdr:colOff>
      <xdr:row>11</xdr:row>
      <xdr:rowOff>83820</xdr:rowOff>
    </xdr:from>
    <xdr:to>
      <xdr:col>6</xdr:col>
      <xdr:colOff>579120</xdr:colOff>
      <xdr:row>20</xdr:row>
      <xdr:rowOff>68580</xdr:rowOff>
    </xdr:to>
    <xdr:sp macro="" textlink="">
      <xdr:nvSpPr>
        <xdr:cNvPr id="3" name="Prostokąt 2">
          <a:extLst>
            <a:ext uri="{FF2B5EF4-FFF2-40B4-BE49-F238E27FC236}">
              <a16:creationId xmlns:a16="http://schemas.microsoft.com/office/drawing/2014/main" id="{757ABD92-FB2C-40BC-997A-F63E4C46D402}"/>
            </a:ext>
          </a:extLst>
        </xdr:cNvPr>
        <xdr:cNvSpPr/>
      </xdr:nvSpPr>
      <xdr:spPr>
        <a:xfrm>
          <a:off x="3230880" y="2095500"/>
          <a:ext cx="3375660" cy="2301240"/>
        </a:xfrm>
        <a:prstGeom prst="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1800">
              <a:solidFill>
                <a:sysClr val="windowText" lastClr="000000"/>
              </a:solidFill>
            </a:rPr>
            <a:t>Obsługa</a:t>
          </a:r>
          <a:r>
            <a:rPr lang="pl-PL" sz="1800" baseline="0">
              <a:solidFill>
                <a:sysClr val="windowText" lastClr="000000"/>
              </a:solidFill>
            </a:rPr>
            <a:t> PDF</a:t>
          </a:r>
          <a:endParaRPr lang="pl-PL" sz="1800">
            <a:solidFill>
              <a:sysClr val="windowText" lastClr="000000"/>
            </a:solidFill>
          </a:endParaRPr>
        </a:p>
      </xdr:txBody>
    </xdr:sp>
    <xdr:clientData/>
  </xdr:twoCellAnchor>
  <xdr:twoCellAnchor>
    <xdr:from>
      <xdr:col>1</xdr:col>
      <xdr:colOff>327660</xdr:colOff>
      <xdr:row>5</xdr:row>
      <xdr:rowOff>121920</xdr:rowOff>
    </xdr:from>
    <xdr:to>
      <xdr:col>6</xdr:col>
      <xdr:colOff>571500</xdr:colOff>
      <xdr:row>11</xdr:row>
      <xdr:rowOff>91440</xdr:rowOff>
    </xdr:to>
    <xdr:sp macro="" textlink="">
      <xdr:nvSpPr>
        <xdr:cNvPr id="2" name="Prostokąt 1">
          <a:extLst>
            <a:ext uri="{FF2B5EF4-FFF2-40B4-BE49-F238E27FC236}">
              <a16:creationId xmlns:a16="http://schemas.microsoft.com/office/drawing/2014/main" id="{354494ED-3373-3EEA-9B5C-D42ABE988E17}"/>
            </a:ext>
          </a:extLst>
        </xdr:cNvPr>
        <xdr:cNvSpPr/>
      </xdr:nvSpPr>
      <xdr:spPr>
        <a:xfrm>
          <a:off x="3223260" y="1036320"/>
          <a:ext cx="3375660" cy="1066800"/>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1800">
              <a:solidFill>
                <a:sysClr val="windowText" lastClr="000000"/>
              </a:solidFill>
            </a:rPr>
            <a:t>Obsługa</a:t>
          </a:r>
          <a:r>
            <a:rPr lang="pl-PL" sz="1800" baseline="0">
              <a:solidFill>
                <a:sysClr val="windowText" lastClr="000000"/>
              </a:solidFill>
            </a:rPr>
            <a:t> TXT</a:t>
          </a:r>
          <a:endParaRPr lang="pl-PL" sz="18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xdr:col>
          <xdr:colOff>586740</xdr:colOff>
          <xdr:row>8</xdr:row>
          <xdr:rowOff>0</xdr:rowOff>
        </xdr:from>
        <xdr:to>
          <xdr:col>4</xdr:col>
          <xdr:colOff>22860</xdr:colOff>
          <xdr:row>11</xdr:row>
          <xdr:rowOff>53340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ea typeface="Calibri"/>
                  <a:cs typeface="Calibri"/>
                </a:rPr>
                <a:t>Wczytanie sprawozdania 2023 - 2024 TXT</a:t>
              </a:r>
            </a:p>
            <a:p>
              <a:pPr algn="ctr" rtl="0">
                <a:defRPr sz="1000"/>
              </a:pPr>
              <a:r>
                <a:rPr lang="pl-PL" sz="1100" b="0" i="0" u="none" strike="noStrike" baseline="0">
                  <a:solidFill>
                    <a:srgbClr val="000000"/>
                  </a:solidFill>
                  <a:latin typeface="Calibri"/>
                  <a:ea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327660</xdr:colOff>
          <xdr:row>8</xdr:row>
          <xdr:rowOff>0</xdr:rowOff>
        </xdr:from>
        <xdr:to>
          <xdr:col>6</xdr:col>
          <xdr:colOff>167640</xdr:colOff>
          <xdr:row>11</xdr:row>
          <xdr:rowOff>45720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ea typeface="Calibri"/>
                  <a:cs typeface="Calibri"/>
                </a:rPr>
                <a:t>Kasowanie sprawozdań TXT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83820</xdr:rowOff>
        </xdr:from>
        <xdr:to>
          <xdr:col>4</xdr:col>
          <xdr:colOff>15240</xdr:colOff>
          <xdr:row>16</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ea typeface="Calibri"/>
                  <a:cs typeface="Calibri"/>
                </a:rPr>
                <a:t>Wczytywanie bilans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13</xdr:row>
          <xdr:rowOff>91440</xdr:rowOff>
        </xdr:from>
        <xdr:to>
          <xdr:col>6</xdr:col>
          <xdr:colOff>129540</xdr:colOff>
          <xdr:row>15</xdr:row>
          <xdr:rowOff>175260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ea typeface="Calibri"/>
                  <a:cs typeface="Calibri"/>
                </a:rPr>
                <a:t>Kasowanie bilansu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601980</xdr:colOff>
          <xdr:row>16</xdr:row>
          <xdr:rowOff>129540</xdr:rowOff>
        </xdr:from>
        <xdr:to>
          <xdr:col>4</xdr:col>
          <xdr:colOff>7620</xdr:colOff>
          <xdr:row>18</xdr:row>
          <xdr:rowOff>251460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ea typeface="Calibri"/>
                  <a:cs typeface="Calibri"/>
                </a:rPr>
                <a:t>Wczytywanie RZiS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297180</xdr:colOff>
          <xdr:row>16</xdr:row>
          <xdr:rowOff>175260</xdr:rowOff>
        </xdr:from>
        <xdr:to>
          <xdr:col>6</xdr:col>
          <xdr:colOff>137160</xdr:colOff>
          <xdr:row>18</xdr:row>
          <xdr:rowOff>251460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ea typeface="Calibri"/>
                  <a:cs typeface="Calibri"/>
                </a:rPr>
                <a:t>Kasowanie RZIS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586740</xdr:colOff>
          <xdr:row>18</xdr:row>
          <xdr:rowOff>381000</xdr:rowOff>
        </xdr:from>
        <xdr:to>
          <xdr:col>3</xdr:col>
          <xdr:colOff>601980</xdr:colOff>
          <xdr:row>19</xdr:row>
          <xdr:rowOff>495300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ea typeface="Calibri"/>
                  <a:cs typeface="Calibri"/>
                </a:rPr>
                <a:t>Wczytywanie przepływy pieniężne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281940</xdr:colOff>
          <xdr:row>18</xdr:row>
          <xdr:rowOff>396240</xdr:rowOff>
        </xdr:from>
        <xdr:to>
          <xdr:col>6</xdr:col>
          <xdr:colOff>121920</xdr:colOff>
          <xdr:row>19</xdr:row>
          <xdr:rowOff>495300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1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ea typeface="Calibri"/>
                  <a:cs typeface="Calibri"/>
                </a:rPr>
                <a:t>Kasowanie przepływy pieniężne  PDF</a:t>
              </a:r>
            </a:p>
          </xdr:txBody>
        </xdr:sp>
        <xdr:clientData fPrintsWithSheet="0"/>
      </xdr:twoCellAnchor>
    </mc:Choice>
    <mc:Fallback/>
  </mc:AlternateContent>
  <xdr:twoCellAnchor>
    <xdr:from>
      <xdr:col>0</xdr:col>
      <xdr:colOff>190500</xdr:colOff>
      <xdr:row>8</xdr:row>
      <xdr:rowOff>0</xdr:rowOff>
    </xdr:from>
    <xdr:to>
      <xdr:col>0</xdr:col>
      <xdr:colOff>2613660</xdr:colOff>
      <xdr:row>18</xdr:row>
      <xdr:rowOff>167640</xdr:rowOff>
    </xdr:to>
    <xdr:sp macro="" textlink="">
      <xdr:nvSpPr>
        <xdr:cNvPr id="4" name="Prostokąt 3">
          <a:extLst>
            <a:ext uri="{FF2B5EF4-FFF2-40B4-BE49-F238E27FC236}">
              <a16:creationId xmlns:a16="http://schemas.microsoft.com/office/drawing/2014/main" id="{173D274A-5C1C-6BB7-853B-90D2DA72622E}"/>
            </a:ext>
          </a:extLst>
        </xdr:cNvPr>
        <xdr:cNvSpPr/>
      </xdr:nvSpPr>
      <xdr:spPr>
        <a:xfrm>
          <a:off x="190500" y="1463040"/>
          <a:ext cx="2423160" cy="1996440"/>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solidFill>
                <a:sysClr val="windowText" lastClr="000000"/>
              </a:solidFill>
            </a:rPr>
            <a:t>INSTRUKCJA</a:t>
          </a:r>
          <a:r>
            <a:rPr lang="pl-PL" sz="1100" b="1" baseline="0">
              <a:solidFill>
                <a:sysClr val="windowText" lastClr="000000"/>
              </a:solidFill>
            </a:rPr>
            <a:t> TXT</a:t>
          </a:r>
        </a:p>
        <a:p>
          <a:pPr algn="l"/>
          <a:r>
            <a:rPr lang="pl-PL" sz="1100" baseline="0">
              <a:solidFill>
                <a:sysClr val="windowText" lastClr="000000"/>
              </a:solidFill>
            </a:rPr>
            <a:t>Przycisk "Wczytanie sprawozdania 2023 - 2024 TXT" wczytuje dane do arkusza "Dane_2023_2024" potrzebne do obliczeń w arkuszu "Wskaźniki" z pliku teksowego, którego ścieżke należy wpisać do komórki A2</a:t>
          </a:r>
        </a:p>
        <a:p>
          <a:pPr algn="l"/>
          <a:endParaRPr lang="pl-PL" sz="1100" baseline="0">
            <a:solidFill>
              <a:sysClr val="windowText" lastClr="000000"/>
            </a:solidFill>
          </a:endParaRPr>
        </a:p>
        <a:p>
          <a:pPr algn="l"/>
          <a:r>
            <a:rPr lang="pl-PL" sz="1100" baseline="0">
              <a:solidFill>
                <a:sysClr val="windowText" lastClr="000000"/>
              </a:solidFill>
            </a:rPr>
            <a:t>Przycisk "Kasowanie sprawozdań TXT"</a:t>
          </a:r>
        </a:p>
        <a:p>
          <a:pPr algn="l"/>
          <a:r>
            <a:rPr lang="pl-PL" sz="1100" baseline="0">
              <a:solidFill>
                <a:sysClr val="windowText" lastClr="000000"/>
              </a:solidFill>
            </a:rPr>
            <a:t>kasuje wszystkie dane z arkusza "Dane_2023_2024"</a:t>
          </a:r>
        </a:p>
      </xdr:txBody>
    </xdr:sp>
    <xdr:clientData/>
  </xdr:twoCellAnchor>
  <xdr:twoCellAnchor>
    <xdr:from>
      <xdr:col>0</xdr:col>
      <xdr:colOff>182880</xdr:colOff>
      <xdr:row>18</xdr:row>
      <xdr:rowOff>365760</xdr:rowOff>
    </xdr:from>
    <xdr:to>
      <xdr:col>0</xdr:col>
      <xdr:colOff>2606040</xdr:colOff>
      <xdr:row>25</xdr:row>
      <xdr:rowOff>30480</xdr:rowOff>
    </xdr:to>
    <xdr:sp macro="" textlink="">
      <xdr:nvSpPr>
        <xdr:cNvPr id="5" name="Prostokąt 4">
          <a:extLst>
            <a:ext uri="{FF2B5EF4-FFF2-40B4-BE49-F238E27FC236}">
              <a16:creationId xmlns:a16="http://schemas.microsoft.com/office/drawing/2014/main" id="{FD7A821B-BFB8-4C1F-8636-93102E10EB09}"/>
            </a:ext>
          </a:extLst>
        </xdr:cNvPr>
        <xdr:cNvSpPr/>
      </xdr:nvSpPr>
      <xdr:spPr>
        <a:xfrm>
          <a:off x="182880" y="3657600"/>
          <a:ext cx="2423160" cy="2164080"/>
        </a:xfrm>
        <a:prstGeom prst="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solidFill>
                <a:sysClr val="windowText" lastClr="000000"/>
              </a:solidFill>
            </a:rPr>
            <a:t>INSTRUKCJA</a:t>
          </a:r>
          <a:r>
            <a:rPr lang="pl-PL" sz="1100" b="1" baseline="0">
              <a:solidFill>
                <a:sysClr val="windowText" lastClr="000000"/>
              </a:solidFill>
            </a:rPr>
            <a:t> PDF</a:t>
          </a:r>
        </a:p>
        <a:p>
          <a:pPr algn="l"/>
          <a:r>
            <a:rPr lang="pl-PL" sz="1100" baseline="0">
              <a:solidFill>
                <a:sysClr val="windowText" lastClr="000000"/>
              </a:solidFill>
            </a:rPr>
            <a:t>Przyciski "Wczytywanie bilans/RZiS/przepływy pieniężne PDF" wczytują dane z pliku PDF, którego ścieżkę należy wpisać do komórki A6, do arkuszy bilans, RZiS, Przepływy pieniężne </a:t>
          </a:r>
        </a:p>
        <a:p>
          <a:pPr algn="l"/>
          <a:endParaRPr lang="pl-PL" sz="1100" baseline="0">
            <a:solidFill>
              <a:sysClr val="windowText" lastClr="000000"/>
            </a:solidFill>
          </a:endParaRPr>
        </a:p>
        <a:p>
          <a:pPr algn="l"/>
          <a:r>
            <a:rPr lang="pl-PL" sz="1100" baseline="0">
              <a:solidFill>
                <a:sysClr val="windowText" lastClr="000000"/>
              </a:solidFill>
            </a:rPr>
            <a:t>Przycisk </a:t>
          </a:r>
          <a:r>
            <a:rPr lang="pl-PL" sz="1100" baseline="0">
              <a:solidFill>
                <a:sysClr val="windowText" lastClr="000000"/>
              </a:solidFill>
              <a:effectLst/>
              <a:latin typeface="+mn-lt"/>
              <a:ea typeface="+mn-ea"/>
              <a:cs typeface="+mn-cs"/>
            </a:rPr>
            <a:t>"Kasowanie bilans/RZiS/przepływy pieniężne PDF" </a:t>
          </a:r>
          <a:r>
            <a:rPr lang="pl-PL" sz="1100" baseline="0">
              <a:solidFill>
                <a:sysClr val="windowText" lastClr="000000"/>
              </a:solidFill>
            </a:rPr>
            <a:t>kasuje wszystkie dane z </a:t>
          </a:r>
          <a:r>
            <a:rPr lang="pl-PL" sz="1100" baseline="0">
              <a:solidFill>
                <a:sysClr val="windowText" lastClr="000000"/>
              </a:solidFill>
              <a:effectLst/>
              <a:latin typeface="+mn-lt"/>
              <a:ea typeface="+mn-ea"/>
              <a:cs typeface="+mn-cs"/>
            </a:rPr>
            <a:t>arkuszy bilans, RZiS, Przepływy pieniężne </a:t>
          </a:r>
          <a:endParaRPr lang="pl-PL">
            <a:solidFill>
              <a:sysClr val="windowText" lastClr="000000"/>
            </a:solidFill>
            <a:effectLst/>
          </a:endParaRPr>
        </a:p>
        <a:p>
          <a:pPr algn="l"/>
          <a:endParaRPr lang="pl-PL" sz="1100" baseline="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423949</xdr:colOff>
      <xdr:row>26</xdr:row>
      <xdr:rowOff>125506</xdr:rowOff>
    </xdr:from>
    <xdr:to>
      <xdr:col>5</xdr:col>
      <xdr:colOff>995083</xdr:colOff>
      <xdr:row>34</xdr:row>
      <xdr:rowOff>32017</xdr:rowOff>
    </xdr:to>
    <xdr:graphicFrame macro="">
      <xdr:nvGraphicFramePr>
        <xdr:cNvPr id="2" name="Wykres 1">
          <a:extLst>
            <a:ext uri="{FF2B5EF4-FFF2-40B4-BE49-F238E27FC236}">
              <a16:creationId xmlns:a16="http://schemas.microsoft.com/office/drawing/2014/main" id="{1C6CD6F0-439A-4505-8B19-C1739C44D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452760</xdr:colOff>
      <xdr:row>35</xdr:row>
      <xdr:rowOff>80682</xdr:rowOff>
    </xdr:from>
    <xdr:to>
      <xdr:col>5</xdr:col>
      <xdr:colOff>968189</xdr:colOff>
      <xdr:row>43</xdr:row>
      <xdr:rowOff>43917</xdr:rowOff>
    </xdr:to>
    <xdr:graphicFrame macro="">
      <xdr:nvGraphicFramePr>
        <xdr:cNvPr id="3" name="Wykres 2">
          <a:extLst>
            <a:ext uri="{FF2B5EF4-FFF2-40B4-BE49-F238E27FC236}">
              <a16:creationId xmlns:a16="http://schemas.microsoft.com/office/drawing/2014/main" id="{09179C27-430F-4BF1-B0C4-9375FE7C7D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445459</xdr:colOff>
      <xdr:row>52</xdr:row>
      <xdr:rowOff>215152</xdr:rowOff>
    </xdr:from>
    <xdr:to>
      <xdr:col>5</xdr:col>
      <xdr:colOff>995083</xdr:colOff>
      <xdr:row>60</xdr:row>
      <xdr:rowOff>217406</xdr:rowOff>
    </xdr:to>
    <xdr:graphicFrame macro="">
      <xdr:nvGraphicFramePr>
        <xdr:cNvPr id="4" name="Wykres 3">
          <a:extLst>
            <a:ext uri="{FF2B5EF4-FFF2-40B4-BE49-F238E27FC236}">
              <a16:creationId xmlns:a16="http://schemas.microsoft.com/office/drawing/2014/main" id="{F897BDCC-B8BD-4D24-94A7-9F99DCD95E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445600</xdr:colOff>
      <xdr:row>62</xdr:row>
      <xdr:rowOff>17930</xdr:rowOff>
    </xdr:from>
    <xdr:to>
      <xdr:col>5</xdr:col>
      <xdr:colOff>1039906</xdr:colOff>
      <xdr:row>70</xdr:row>
      <xdr:rowOff>6404</xdr:rowOff>
    </xdr:to>
    <xdr:graphicFrame macro="">
      <xdr:nvGraphicFramePr>
        <xdr:cNvPr id="5" name="Wykres 4">
          <a:extLst>
            <a:ext uri="{FF2B5EF4-FFF2-40B4-BE49-F238E27FC236}">
              <a16:creationId xmlns:a16="http://schemas.microsoft.com/office/drawing/2014/main" id="{4D67C704-8936-4ADC-8F3F-7DECADA2C4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452403</xdr:colOff>
      <xdr:row>43</xdr:row>
      <xdr:rowOff>206188</xdr:rowOff>
    </xdr:from>
    <xdr:to>
      <xdr:col>5</xdr:col>
      <xdr:colOff>977153</xdr:colOff>
      <xdr:row>52</xdr:row>
      <xdr:rowOff>25614</xdr:rowOff>
    </xdr:to>
    <xdr:graphicFrame macro="">
      <xdr:nvGraphicFramePr>
        <xdr:cNvPr id="6" name="Wykres 5">
          <a:extLst>
            <a:ext uri="{FF2B5EF4-FFF2-40B4-BE49-F238E27FC236}">
              <a16:creationId xmlns:a16="http://schemas.microsoft.com/office/drawing/2014/main" id="{911E1987-FF89-40CE-8BB8-AF2998AA69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268774</xdr:colOff>
      <xdr:row>19</xdr:row>
      <xdr:rowOff>8680</xdr:rowOff>
    </xdr:from>
    <xdr:to>
      <xdr:col>7</xdr:col>
      <xdr:colOff>34342</xdr:colOff>
      <xdr:row>21</xdr:row>
      <xdr:rowOff>126609</xdr:rowOff>
    </xdr:to>
    <xdr:sp macro="" textlink="">
      <xdr:nvSpPr>
        <xdr:cNvPr id="7" name="Prostokąt 6">
          <a:extLst>
            <a:ext uri="{FF2B5EF4-FFF2-40B4-BE49-F238E27FC236}">
              <a16:creationId xmlns:a16="http://schemas.microsoft.com/office/drawing/2014/main" id="{25DD0C5D-08C8-46C6-AB76-20550C8C5D21}"/>
            </a:ext>
          </a:extLst>
        </xdr:cNvPr>
        <xdr:cNvSpPr/>
      </xdr:nvSpPr>
      <xdr:spPr>
        <a:xfrm>
          <a:off x="10928998" y="5280476"/>
          <a:ext cx="3272324" cy="568909"/>
        </a:xfrm>
        <a:prstGeom prst="rect">
          <a:avLst/>
        </a:prstGeom>
        <a:solidFill>
          <a:schemeClr val="accent3">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en-GB" sz="1400">
              <a:solidFill>
                <a:schemeClr val="tx1"/>
              </a:solidFill>
            </a:rPr>
            <a:t>Dynamika = (wartość nowa – wartość stara) / wartość stara</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Widok" id="{096BEC20-F833-458D-B560-DC7735B444EB}">
    <nsvFilter filterId="{5B1BDCE7-D522-4071-A65A-49741D428A8B}" ref="B2:I7" tableId="4"/>
    <nsvFilter filterId="{9AE6BAFB-C7DA-4A8B-9B76-BDD2114C852B}" ref="B20:E25" tableId="6"/>
    <nsvFilter filterId="{125B5D4B-0BE8-4E74-8070-555F63C3D2B1}" ref="B27:C34" tableId="7"/>
    <nsvFilter filterId="{B71B8A7A-3B31-49C6-ADA9-EE5D33D51954}" ref="B36:C43" tableId="8"/>
    <nsvFilter filterId="{5E9967D5-44F0-4AD6-BC0B-9D357835255E}" ref="B45:C52" tableId="9"/>
    <nsvFilter filterId="{6097DB09-0CD0-40E0-83A9-7A903E39ED4C}" ref="B54:C61" tableId="10"/>
    <nsvFilter filterId="{62D3192D-B256-4A36-86F0-6C81E7D8E9B7}" ref="B63:C70" tableId="11"/>
  </namedSheetView>
</namedSheetView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7" xr16:uid="{12F7D7D0-C26B-4506-9576-7F9C9B13592D}" autoFormatId="0" applyNumberFormats="0" applyBorderFormats="0" applyFontFormats="1" applyPatternFormats="1" applyAlignmentFormats="0" applyWidthHeightFormats="0">
  <queryTableRefresh nextId="4">
    <queryTableFields count="3">
      <queryTableField id="1" name="Column1" tableColumnId="4"/>
      <queryTableField id="2" name="31.12.2024" tableColumnId="5"/>
      <queryTableField id="3" name="31.12.2023"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144AAF55-9338-4413-9F17-BE6104FEF3BC}" autoFormatId="0" applyNumberFormats="0" applyBorderFormats="0" applyFontFormats="1" applyPatternFormats="1" applyAlignmentFormats="0" applyWidthHeightFormats="0">
  <queryTableRefresh nextId="4">
    <queryTableFields count="3">
      <queryTableField id="1" name="Nazwa" tableColumnId="4"/>
      <queryTableField id="2" name="31.12.2024" tableColumnId="5"/>
      <queryTableField id="3" name="31.12.2023"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9" xr16:uid="{06A778BA-7A1A-433B-88AA-7696CD557D7E}" autoFormatId="0" applyNumberFormats="0" applyBorderFormats="0" applyFontFormats="1" applyPatternFormats="1" applyAlignmentFormats="0" applyWidthHeightFormats="0">
  <queryTableRefresh nextId="4">
    <queryTableFields count="3">
      <queryTableField id="1" name="Nazwa" tableColumnId="4"/>
      <queryTableField id="2" name="31.12.2024" tableColumnId="5"/>
      <queryTableField id="3" name="31.12.2023"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3A7E21-BA6D-4269-A8C1-687C90725502}" name="Tabela_ExternalData_1" displayName="Tabela_ExternalData_1" ref="A1:C51" tableType="queryTable" totalsRowShown="0">
  <autoFilter ref="A1:C51" xr:uid="{5D3A7E21-BA6D-4269-A8C1-687C90725502}"/>
  <tableColumns count="3">
    <tableColumn id="4" xr3:uid="{96D191B4-DD90-432B-80BB-E624481457A1}" uniqueName="4" name="Column1" queryTableFieldId="1" dataDxfId="73"/>
    <tableColumn id="5" xr3:uid="{DFD09240-745B-4832-B9F6-EE65DF15E1D2}" uniqueName="5" name="31.12.2024" queryTableFieldId="2"/>
    <tableColumn id="6" xr3:uid="{8E68378B-775E-4EED-BA2F-E6547321DD66}" uniqueName="6" name="31.12.2023" queryTableField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B2193D3-6B13-48EE-85CF-2EDA2D2BED80}" name="Tabela_ExternalData_13" displayName="Tabela_ExternalData_13" ref="A1:C33" tableType="queryTable" totalsRowShown="0">
  <autoFilter ref="A1:C33" xr:uid="{0B2193D3-6B13-48EE-85CF-2EDA2D2BED80}"/>
  <tableColumns count="3">
    <tableColumn id="4" xr3:uid="{ACC58E99-7B82-4610-A825-1F4B4A3DE311}" uniqueName="4" name="Nazwa" queryTableFieldId="1" dataDxfId="72"/>
    <tableColumn id="5" xr3:uid="{07C9F560-AC5F-4861-9A2C-326D9767D0AC}" uniqueName="5" name="31.12.2024" queryTableFieldId="2"/>
    <tableColumn id="6" xr3:uid="{15019C10-E116-4292-A2DB-78851C1D871C}" uniqueName="6" name="31.12.2023" queryTableFieldId="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4A1684-EFA1-4EBE-8B2F-BE2154DCA87D}" name="Tabela_ExternalData_14" displayName="Tabela_ExternalData_14" ref="A1:C30" tableType="queryTable" totalsRowShown="0">
  <autoFilter ref="A1:C30" xr:uid="{8B4A1684-EFA1-4EBE-8B2F-BE2154DCA87D}"/>
  <tableColumns count="3">
    <tableColumn id="4" xr3:uid="{2BE71ED9-0D37-4C9D-A261-B58C5A35D1EF}" uniqueName="4" name="Nazwa" queryTableFieldId="1" dataDxfId="71"/>
    <tableColumn id="5" xr3:uid="{08733EE4-A135-442B-BFDE-CBCF6AD4C624}" uniqueName="5" name="31.12.2024" queryTableFieldId="2"/>
    <tableColumn id="6" xr3:uid="{3D32085B-809F-4E24-82C0-E7A33C554DF8}" uniqueName="6" name="31.12.2023"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572EB7-38D7-4476-9DD0-48EC8FA6B9EC}" name="Tabela18" displayName="Tabela18" ref="B2:I7" totalsRowShown="0" headerRowDxfId="70" dataDxfId="68" headerRowBorderDxfId="69" tableBorderDxfId="67" totalsRowBorderDxfId="66">
  <autoFilter ref="B2:I7" xr:uid="{5B1BDCE7-D522-4071-A65A-49741D428A8B}"/>
  <tableColumns count="8">
    <tableColumn id="1" xr3:uid="{E0E83C8F-907B-4CD1-B100-B2019959E312}" name="Nazwa wskaźnika" dataDxfId="65"/>
    <tableColumn id="2" xr3:uid="{7C7DAE8B-DC04-4955-9862-942E5766D0FC}" name="Licznik" dataDxfId="64"/>
    <tableColumn id="3" xr3:uid="{F6D66E88-C0C9-4C58-8C11-276A2E4A6E05}" name="Źródło" dataDxfId="63"/>
    <tableColumn id="4" xr3:uid="{AEBE9135-7394-4214-A5A1-4C52604215D0}" name="Mianownik" dataDxfId="62"/>
    <tableColumn id="5" xr3:uid="{DC81BB24-B9AC-436D-A358-8E8EB6E31500}" name="Źródło2" dataDxfId="61"/>
    <tableColumn id="6" xr3:uid="{DEA20D7A-6A27-4084-AE19-C3D33B2BBFAA}" name="Typ zleceń" dataDxfId="60"/>
    <tableColumn id="7" xr3:uid="{48696A7B-0670-4694-9ABF-E06AB4BE96C7}" name="Dolna granica" dataDxfId="59"/>
    <tableColumn id="8" xr3:uid="{5623AF6E-F10F-4A63-B35D-C21E98901605}" name="Górna granica" dataDxfId="58"/>
  </tableColumns>
  <tableStyleInfo name="Styl tabeli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D044DC0-C5EE-4C8C-A4A5-F1ACB8ACE2DE}" name="Tabela9" displayName="Tabela9" ref="B20:E25" totalsRowShown="0" headerRowDxfId="57" dataDxfId="55" headerRowBorderDxfId="56" tableBorderDxfId="54" totalsRowBorderDxfId="53">
  <autoFilter ref="B20:E25" xr:uid="{9AE6BAFB-C7DA-4A8B-9B76-BDD2114C852B}"/>
  <tableColumns count="4">
    <tableColumn id="1" xr3:uid="{8F0C7EB2-087D-4D18-B458-1385C30BFE27}" name="Wskaźnik" dataDxfId="52">
      <calculatedColumnFormula>B3</calculatedColumnFormula>
    </tableColumn>
    <tableColumn id="2" xr3:uid="{F7630599-1530-4AE9-8C86-07B5B8EE0E95}" name="Rok 2024" dataDxfId="51">
      <calculatedColumnFormula>#REF!/C9</calculatedColumnFormula>
    </tableColumn>
    <tableColumn id="3" xr3:uid="{2E71BCA8-06E5-4498-98A6-0160C3040FCD}" name="Rok 2023" dataDxfId="50"/>
    <tableColumn id="5" xr3:uid="{C74082F3-A4FF-454E-8C26-912BCBC15F6F}" name="Dynamika 2023 - 2024" dataDxfId="49" dataCellStyle="Procentowy">
      <calculatedColumnFormula>(Tabela9[[#This Row],[Rok 2023]]-Tabela9[[#This Row],[Rok 2024]])/Tabela9[[#This Row],[Rok 2024]]</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1FB353-C60C-4311-8BE1-553B0EBC38B5}" name="Tabela10" displayName="Tabela10" ref="B27:C34" totalsRowShown="0" headerRowDxfId="48" dataDxfId="46" headerRowBorderDxfId="47" tableBorderDxfId="45" totalsRowBorderDxfId="44">
  <autoFilter ref="B27:C34" xr:uid="{125B5D4B-0BE8-4E74-8070-555F63C3D2B1}"/>
  <tableColumns count="2">
    <tableColumn id="1" xr3:uid="{FD9ACA19-0150-44BF-BF7F-B3C93B30CD72}" name="Płynność bieżąca" dataDxfId="43"/>
    <tableColumn id="2" xr3:uid="{8147B194-F015-4422-8A5D-7FC51C80362F}" name="Diagnoza" dataDxfId="4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1D11F-6E4A-4C87-9A11-3EE2DA830AE8}" name="Tabela104" displayName="Tabela104" ref="B36:C43" totalsRowShown="0" headerRowDxfId="41" dataDxfId="39" headerRowBorderDxfId="40" tableBorderDxfId="38" totalsRowBorderDxfId="37">
  <autoFilter ref="B36:C43" xr:uid="{B71B8A7A-3B31-49C6-ADA9-EE5D33D51954}"/>
  <tableColumns count="2">
    <tableColumn id="1" xr3:uid="{4F2742ED-1746-4BCB-86E2-CCD691F082E2}" name="Płynność szybka" dataDxfId="36"/>
    <tableColumn id="2" xr3:uid="{A4B107FD-F570-49EA-8CB4-92DE3E02D3A6}" name="Diagnoza" dataDxfId="3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7BE5B03-FC31-4D55-815A-09DDFF2F6BCD}" name="Tabela10412" displayName="Tabela10412" ref="B45:C52" totalsRowShown="0" headerRowDxfId="34" dataDxfId="32" headerRowBorderDxfId="33" tableBorderDxfId="31" totalsRowBorderDxfId="30">
  <autoFilter ref="B45:C52" xr:uid="{5E9967D5-44F0-4AD6-BC0B-9D357835255E}"/>
  <tableColumns count="2">
    <tableColumn id="1" xr3:uid="{F7F4E9F3-990B-42B1-913A-CAC7A5CE01D7}" name="Płynność gotówkowa" dataDxfId="29"/>
    <tableColumn id="2" xr3:uid="{9E987E0C-B78D-4270-8E15-E9CEF25D36D5}" name="Diagnoza" dataDxfId="28"/>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CBCD099-DB84-4AA7-9486-028C54C91DD7}" name="Tabela1041214" displayName="Tabela1041214" ref="B54:C61" totalsRowShown="0" headerRowDxfId="27" dataDxfId="25" headerRowBorderDxfId="26" tableBorderDxfId="24" totalsRowBorderDxfId="23">
  <autoFilter ref="B54:C61" xr:uid="{6097DB09-0CD0-40E0-83A9-7A903E39ED4C}"/>
  <tableColumns count="2">
    <tableColumn id="1" xr3:uid="{5844FF14-721E-475B-961B-381C95D1EA10}" name="Wskaźnik bieżącej wypłacalności" dataDxfId="22"/>
    <tableColumn id="2" xr3:uid="{DA0AFE1E-BA72-4F55-BA7F-41F261BEC04A}" name="Diagnoza" dataDxfId="21"/>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F104573-179D-447B-93C8-AFB97AE3925C}" name="Tabela104121415" displayName="Tabela104121415" ref="B63:C70" totalsRowShown="0" headerRowDxfId="20" dataDxfId="18" headerRowBorderDxfId="19" tableBorderDxfId="17" totalsRowBorderDxfId="16">
  <autoFilter ref="B63:C70" xr:uid="{62D3192D-B256-4A36-86F0-6C81E7D8E9B7}"/>
  <tableColumns count="2">
    <tableColumn id="1" xr3:uid="{4FC973A0-9E4D-4F62-8BC6-E7A0EE5414B9}" name="Rotacja zapasów" dataDxfId="15"/>
    <tableColumn id="2" xr3:uid="{51EA5A0C-4740-4BD4-AFAC-F0F29D742F2A}" name="Diagnoza" dataDxfId="14"/>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1BD3094-E968-47BA-BB91-486EAC758076}" name="Tabela13" displayName="Tabela13" ref="B9:J18" totalsRowShown="0" headerRowDxfId="13" dataDxfId="12" tableBorderDxfId="11" dataCellStyle="Normalny 2">
  <autoFilter ref="B9:J18" xr:uid="{51BD3094-E968-47BA-BB91-486EAC758076}"/>
  <tableColumns count="9">
    <tableColumn id="1" xr3:uid="{4662DB08-B249-4008-8A10-C5B6EBBCB7FE}" name="Komórka początkowa" dataDxfId="10" dataCellStyle="Normalny 2"/>
    <tableColumn id="2" xr3:uid="{3261140C-0F56-4EEC-A1C1-CD9ED007E96B}" name="Przesunięcie 1" dataDxfId="9" dataCellStyle="Normalny 2"/>
    <tableColumn id="3" xr3:uid="{07F756A9-18BA-4353-B2DA-54224155253F}" name="Przesunięcie 2" dataDxfId="8" dataCellStyle="Normalny 2"/>
    <tableColumn id="4" xr3:uid="{28541230-4698-4759-8D36-FCB443604C4A}" name="Nazwa" dataDxfId="7" dataCellStyle="Normalny 2"/>
    <tableColumn id="5" xr3:uid="{3897D8F9-5B3A-47A8-85F1-A092681A682A}" name="Wartości 2024" dataDxfId="6" dataCellStyle="Normalny 2"/>
    <tableColumn id="6" xr3:uid="{3C2AB4C0-28BC-4DFA-92AB-14C6576E230D}" name="Wartości 2023" dataDxfId="5" dataCellStyle="Normalny 2"/>
    <tableColumn id="7" xr3:uid="{33F58F4F-B1AA-454F-9880-951D2E3EEB3A}" name="Wartość poprawiona 2024" dataDxfId="4" dataCellStyle="Normalny 2">
      <calculatedColumnFormula>F10*1</calculatedColumnFormula>
    </tableColumn>
    <tableColumn id="8" xr3:uid="{CF4D72C2-F313-4DBE-84D3-062488033379}" name="Wartość poprawiona 2023" dataDxfId="3" dataCellStyle="Normalny 2">
      <calculatedColumnFormula>G10*1</calculatedColumnFormula>
    </tableColumn>
    <tableColumn id="9" xr3:uid="{0076E613-0387-48DE-95FE-4E861407D4C0}" name="Dynamika 2023 - 2024" dataDxfId="2" dataCellStyle="Procentowy">
      <calculatedColumnFormula>(H10-I10)/I10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table" Target="../tables/table8.xml"/><Relationship Id="rId5" Type="http://schemas.openxmlformats.org/officeDocument/2006/relationships/table" Target="../tables/table7.xml"/><Relationship Id="rId10" Type="http://schemas.microsoft.com/office/2019/04/relationships/namedSheetView" Target="../namedSheetViews/namedSheetView1.xml"/><Relationship Id="rId4" Type="http://schemas.openxmlformats.org/officeDocument/2006/relationships/table" Target="../tables/table6.xml"/><Relationship Id="rId9"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14FAE-A25C-4C12-AB65-C9ACBF9B4056}">
  <dimension ref="A1:C5950"/>
  <sheetViews>
    <sheetView topLeftCell="A527" workbookViewId="0">
      <selection activeCell="C555" sqref="C555"/>
    </sheetView>
  </sheetViews>
  <sheetFormatPr defaultRowHeight="14.4"/>
  <sheetData>
    <row r="1" spans="1:3">
      <c r="A1">
        <v>5950</v>
      </c>
    </row>
    <row r="2" spans="1:3">
      <c r="C2" t="s">
        <v>813</v>
      </c>
    </row>
    <row r="3" spans="1:3">
      <c r="C3" t="s">
        <v>814</v>
      </c>
    </row>
    <row r="4" spans="1:3">
      <c r="C4" t="s">
        <v>319</v>
      </c>
    </row>
    <row r="5" spans="1:3">
      <c r="C5" t="s">
        <v>320</v>
      </c>
    </row>
    <row r="6" spans="1:3">
      <c r="C6">
        <v>2</v>
      </c>
    </row>
    <row r="7" spans="1:3">
      <c r="C7" t="s">
        <v>321</v>
      </c>
    </row>
    <row r="8" spans="1:3">
      <c r="C8" t="s">
        <v>1605</v>
      </c>
    </row>
    <row r="9" spans="1:3">
      <c r="C9" t="s">
        <v>1606</v>
      </c>
    </row>
    <row r="10" spans="1:3">
      <c r="C10" t="s">
        <v>1607</v>
      </c>
    </row>
    <row r="11" spans="1:3">
      <c r="C11" t="s">
        <v>1608</v>
      </c>
    </row>
    <row r="12" spans="1:3">
      <c r="C12" t="s">
        <v>1609</v>
      </c>
    </row>
    <row r="13" spans="1:3">
      <c r="C13" t="s">
        <v>1610</v>
      </c>
    </row>
    <row r="14" spans="1:3">
      <c r="C14" t="s">
        <v>1611</v>
      </c>
    </row>
    <row r="15" spans="1:3">
      <c r="C15" t="s">
        <v>1612</v>
      </c>
    </row>
    <row r="16" spans="1:3">
      <c r="C16" t="s">
        <v>815</v>
      </c>
    </row>
    <row r="17" spans="3:3">
      <c r="C17" t="s">
        <v>816</v>
      </c>
    </row>
    <row r="18" spans="3:3">
      <c r="C18" t="s">
        <v>1613</v>
      </c>
    </row>
    <row r="19" spans="3:3">
      <c r="C19" t="s">
        <v>817</v>
      </c>
    </row>
    <row r="20" spans="3:3">
      <c r="C20" t="s">
        <v>818</v>
      </c>
    </row>
    <row r="21" spans="3:3">
      <c r="C21" t="s">
        <v>819</v>
      </c>
    </row>
    <row r="22" spans="3:3">
      <c r="C22" t="s">
        <v>1614</v>
      </c>
    </row>
    <row r="23" spans="3:3">
      <c r="C23" t="s">
        <v>1615</v>
      </c>
    </row>
    <row r="24" spans="3:3">
      <c r="C24" t="s">
        <v>1616</v>
      </c>
    </row>
    <row r="25" spans="3:3">
      <c r="C25" t="s">
        <v>1617</v>
      </c>
    </row>
    <row r="26" spans="3:3">
      <c r="C26" t="s">
        <v>1618</v>
      </c>
    </row>
    <row r="27" spans="3:3">
      <c r="C27" t="s">
        <v>1619</v>
      </c>
    </row>
    <row r="28" spans="3:3">
      <c r="C28" t="s">
        <v>820</v>
      </c>
    </row>
    <row r="29" spans="3:3">
      <c r="C29" t="s">
        <v>1620</v>
      </c>
    </row>
    <row r="30" spans="3:3">
      <c r="C30" t="s">
        <v>821</v>
      </c>
    </row>
    <row r="31" spans="3:3">
      <c r="C31" t="s">
        <v>822</v>
      </c>
    </row>
    <row r="32" spans="3:3">
      <c r="C32" t="s">
        <v>823</v>
      </c>
    </row>
    <row r="33" spans="3:3">
      <c r="C33" t="s">
        <v>824</v>
      </c>
    </row>
    <row r="34" spans="3:3">
      <c r="C34" t="s">
        <v>825</v>
      </c>
    </row>
    <row r="35" spans="3:3">
      <c r="C35" t="s">
        <v>826</v>
      </c>
    </row>
    <row r="36" spans="3:3">
      <c r="C36" t="s">
        <v>1621</v>
      </c>
    </row>
    <row r="37" spans="3:3">
      <c r="C37" t="s">
        <v>1622</v>
      </c>
    </row>
    <row r="38" spans="3:3">
      <c r="C38" t="s">
        <v>827</v>
      </c>
    </row>
    <row r="39" spans="3:3">
      <c r="C39" t="s">
        <v>828</v>
      </c>
    </row>
    <row r="40" spans="3:3">
      <c r="C40" t="s">
        <v>1623</v>
      </c>
    </row>
    <row r="41" spans="3:3">
      <c r="C41" t="s">
        <v>1624</v>
      </c>
    </row>
    <row r="42" spans="3:3">
      <c r="C42" t="s">
        <v>1625</v>
      </c>
    </row>
    <row r="43" spans="3:3">
      <c r="C43" t="s">
        <v>1626</v>
      </c>
    </row>
    <row r="44" spans="3:3">
      <c r="C44" t="s">
        <v>1627</v>
      </c>
    </row>
    <row r="45" spans="3:3">
      <c r="C45" t="s">
        <v>1628</v>
      </c>
    </row>
    <row r="46" spans="3:3">
      <c r="C46" t="s">
        <v>1629</v>
      </c>
    </row>
    <row r="47" spans="3:3">
      <c r="C47" t="s">
        <v>813</v>
      </c>
    </row>
    <row r="48" spans="3:3">
      <c r="C48" t="s">
        <v>814</v>
      </c>
    </row>
    <row r="49" spans="3:3">
      <c r="C49" t="s">
        <v>319</v>
      </c>
    </row>
    <row r="50" spans="3:3">
      <c r="C50" t="s">
        <v>320</v>
      </c>
    </row>
    <row r="51" spans="3:3">
      <c r="C51">
        <v>3</v>
      </c>
    </row>
    <row r="52" spans="3:3">
      <c r="C52" t="s">
        <v>1630</v>
      </c>
    </row>
    <row r="53" spans="3:3">
      <c r="C53" t="s">
        <v>1631</v>
      </c>
    </row>
    <row r="54" spans="3:3">
      <c r="C54" t="s">
        <v>1632</v>
      </c>
    </row>
    <row r="55" spans="3:3">
      <c r="C55" t="s">
        <v>1633</v>
      </c>
    </row>
    <row r="56" spans="3:3">
      <c r="C56" t="s">
        <v>1634</v>
      </c>
    </row>
    <row r="57" spans="3:3">
      <c r="C57" t="s">
        <v>1635</v>
      </c>
    </row>
    <row r="58" spans="3:3">
      <c r="C58" t="s">
        <v>1636</v>
      </c>
    </row>
    <row r="59" spans="3:3">
      <c r="C59" t="s">
        <v>1637</v>
      </c>
    </row>
    <row r="60" spans="3:3">
      <c r="C60" t="s">
        <v>1638</v>
      </c>
    </row>
    <row r="61" spans="3:3">
      <c r="C61" t="s">
        <v>1639</v>
      </c>
    </row>
    <row r="62" spans="3:3">
      <c r="C62" t="s">
        <v>1640</v>
      </c>
    </row>
    <row r="63" spans="3:3">
      <c r="C63" t="s">
        <v>1641</v>
      </c>
    </row>
    <row r="64" spans="3:3">
      <c r="C64" t="s">
        <v>1642</v>
      </c>
    </row>
    <row r="65" spans="3:3">
      <c r="C65" t="s">
        <v>1643</v>
      </c>
    </row>
    <row r="66" spans="3:3">
      <c r="C66" t="s">
        <v>1644</v>
      </c>
    </row>
    <row r="67" spans="3:3">
      <c r="C67" t="s">
        <v>1645</v>
      </c>
    </row>
    <row r="68" spans="3:3">
      <c r="C68" t="s">
        <v>1646</v>
      </c>
    </row>
    <row r="69" spans="3:3">
      <c r="C69" t="s">
        <v>1647</v>
      </c>
    </row>
    <row r="70" spans="3:3">
      <c r="C70" t="s">
        <v>1648</v>
      </c>
    </row>
    <row r="71" spans="3:3">
      <c r="C71" t="s">
        <v>1649</v>
      </c>
    </row>
    <row r="72" spans="3:3">
      <c r="C72" t="s">
        <v>1650</v>
      </c>
    </row>
    <row r="73" spans="3:3">
      <c r="C73" t="s">
        <v>1651</v>
      </c>
    </row>
    <row r="74" spans="3:3">
      <c r="C74" t="s">
        <v>1652</v>
      </c>
    </row>
    <row r="75" spans="3:3">
      <c r="C75" t="s">
        <v>1653</v>
      </c>
    </row>
    <row r="76" spans="3:3">
      <c r="C76" t="s">
        <v>1654</v>
      </c>
    </row>
    <row r="77" spans="3:3">
      <c r="C77" t="s">
        <v>1655</v>
      </c>
    </row>
    <row r="78" spans="3:3">
      <c r="C78" t="s">
        <v>1656</v>
      </c>
    </row>
    <row r="79" spans="3:3">
      <c r="C79" t="s">
        <v>1657</v>
      </c>
    </row>
    <row r="80" spans="3:3">
      <c r="C80" t="s">
        <v>1658</v>
      </c>
    </row>
    <row r="81" spans="3:3">
      <c r="C81" t="s">
        <v>1659</v>
      </c>
    </row>
    <row r="82" spans="3:3">
      <c r="C82" t="s">
        <v>1660</v>
      </c>
    </row>
    <row r="83" spans="3:3">
      <c r="C83" t="s">
        <v>1661</v>
      </c>
    </row>
    <row r="84" spans="3:3">
      <c r="C84" t="s">
        <v>1662</v>
      </c>
    </row>
    <row r="85" spans="3:3">
      <c r="C85" t="s">
        <v>1663</v>
      </c>
    </row>
    <row r="86" spans="3:3">
      <c r="C86" t="s">
        <v>1664</v>
      </c>
    </row>
    <row r="87" spans="3:3">
      <c r="C87" t="s">
        <v>813</v>
      </c>
    </row>
    <row r="88" spans="3:3">
      <c r="C88" t="s">
        <v>814</v>
      </c>
    </row>
    <row r="89" spans="3:3">
      <c r="C89" t="s">
        <v>319</v>
      </c>
    </row>
    <row r="90" spans="3:3">
      <c r="C90" t="s">
        <v>320</v>
      </c>
    </row>
    <row r="91" spans="3:3">
      <c r="C91">
        <v>4</v>
      </c>
    </row>
    <row r="92" spans="3:3">
      <c r="C92" t="s">
        <v>829</v>
      </c>
    </row>
    <row r="93" spans="3:3">
      <c r="C93" t="s">
        <v>830</v>
      </c>
    </row>
    <row r="94" spans="3:3">
      <c r="C94" t="s">
        <v>831</v>
      </c>
    </row>
    <row r="95" spans="3:3">
      <c r="C95" t="s">
        <v>831</v>
      </c>
    </row>
    <row r="96" spans="3:3">
      <c r="C96" t="s">
        <v>832</v>
      </c>
    </row>
    <row r="97" spans="3:3">
      <c r="C97" t="s">
        <v>833</v>
      </c>
    </row>
    <row r="98" spans="3:3">
      <c r="C98" t="s">
        <v>47</v>
      </c>
    </row>
    <row r="99" spans="3:3">
      <c r="C99" t="s">
        <v>48</v>
      </c>
    </row>
    <row r="100" spans="3:3">
      <c r="C100" t="s">
        <v>322</v>
      </c>
    </row>
    <row r="101" spans="3:3">
      <c r="C101" t="s">
        <v>834</v>
      </c>
    </row>
    <row r="102" spans="3:3">
      <c r="C102">
        <v>4.0999999999999996</v>
      </c>
    </row>
    <row r="103" spans="3:3">
      <c r="C103" t="s">
        <v>1665</v>
      </c>
    </row>
    <row r="104" spans="3:3">
      <c r="C104" t="s">
        <v>835</v>
      </c>
    </row>
    <row r="105" spans="3:3">
      <c r="C105" t="s">
        <v>836</v>
      </c>
    </row>
    <row r="106" spans="3:3">
      <c r="C106" t="s">
        <v>1666</v>
      </c>
    </row>
    <row r="107" spans="3:3">
      <c r="C107" t="s">
        <v>837</v>
      </c>
    </row>
    <row r="108" spans="3:3">
      <c r="C108" t="s">
        <v>1667</v>
      </c>
    </row>
    <row r="109" spans="3:3">
      <c r="C109" t="s">
        <v>1668</v>
      </c>
    </row>
    <row r="110" spans="3:3">
      <c r="C110" t="s">
        <v>839</v>
      </c>
    </row>
    <row r="111" spans="3:3">
      <c r="C111" t="s">
        <v>840</v>
      </c>
    </row>
    <row r="112" spans="3:3">
      <c r="C112">
        <v>4.2</v>
      </c>
    </row>
    <row r="113" spans="3:3">
      <c r="C113" t="s">
        <v>1669</v>
      </c>
    </row>
    <row r="114" spans="3:3">
      <c r="C114" t="s">
        <v>841</v>
      </c>
    </row>
    <row r="115" spans="3:3">
      <c r="C115" t="s">
        <v>842</v>
      </c>
    </row>
    <row r="116" spans="3:3">
      <c r="C116">
        <v>4.2</v>
      </c>
    </row>
    <row r="117" spans="3:3">
      <c r="C117" t="s">
        <v>1670</v>
      </c>
    </row>
    <row r="118" spans="3:3">
      <c r="C118" t="s">
        <v>843</v>
      </c>
    </row>
    <row r="119" spans="3:3">
      <c r="C119" t="s">
        <v>844</v>
      </c>
    </row>
    <row r="120" spans="3:3">
      <c r="C120">
        <v>4.3</v>
      </c>
    </row>
    <row r="121" spans="3:3">
      <c r="C121" t="s">
        <v>1671</v>
      </c>
    </row>
    <row r="122" spans="3:3">
      <c r="C122" t="s">
        <v>1672</v>
      </c>
    </row>
    <row r="123" spans="3:3">
      <c r="C123" t="s">
        <v>1673</v>
      </c>
    </row>
    <row r="124" spans="3:3">
      <c r="C124">
        <v>7.4</v>
      </c>
    </row>
    <row r="125" spans="3:3">
      <c r="C125" t="s">
        <v>1674</v>
      </c>
    </row>
    <row r="126" spans="3:3">
      <c r="C126" t="s">
        <v>1675</v>
      </c>
    </row>
    <row r="127" spans="3:3">
      <c r="C127" t="s">
        <v>846</v>
      </c>
    </row>
    <row r="128" spans="3:3">
      <c r="C128">
        <v>4.4000000000000004</v>
      </c>
    </row>
    <row r="129" spans="3:3">
      <c r="C129" t="s">
        <v>1676</v>
      </c>
    </row>
    <row r="130" spans="3:3">
      <c r="C130" t="s">
        <v>1677</v>
      </c>
    </row>
    <row r="131" spans="3:3">
      <c r="C131" t="s">
        <v>848</v>
      </c>
    </row>
    <row r="132" spans="3:3">
      <c r="C132">
        <v>4.5</v>
      </c>
    </row>
    <row r="133" spans="3:3">
      <c r="C133" t="s">
        <v>1678</v>
      </c>
    </row>
    <row r="134" spans="3:3">
      <c r="C134" t="s">
        <v>1056</v>
      </c>
    </row>
    <row r="135" spans="3:3">
      <c r="C135" t="s">
        <v>1679</v>
      </c>
    </row>
    <row r="136" spans="3:3">
      <c r="C136" t="s">
        <v>1680</v>
      </c>
    </row>
    <row r="137" spans="3:3">
      <c r="C137" t="s">
        <v>850</v>
      </c>
    </row>
    <row r="138" spans="3:3">
      <c r="C138" t="s">
        <v>3</v>
      </c>
    </row>
    <row r="139" spans="3:3">
      <c r="C139">
        <v>4.5999999999999996</v>
      </c>
    </row>
    <row r="140" spans="3:3">
      <c r="C140" t="s">
        <v>1125</v>
      </c>
    </row>
    <row r="141" spans="3:3">
      <c r="C141" t="s">
        <v>851</v>
      </c>
    </row>
    <row r="142" spans="3:3">
      <c r="C142" t="s">
        <v>852</v>
      </c>
    </row>
    <row r="143" spans="3:3">
      <c r="C143">
        <v>4.5999999999999996</v>
      </c>
    </row>
    <row r="144" spans="3:3">
      <c r="C144" t="s">
        <v>1681</v>
      </c>
    </row>
    <row r="145" spans="3:3">
      <c r="C145" t="s">
        <v>853</v>
      </c>
    </row>
    <row r="146" spans="3:3">
      <c r="C146" t="s">
        <v>854</v>
      </c>
    </row>
    <row r="147" spans="3:3">
      <c r="C147" t="s">
        <v>70</v>
      </c>
    </row>
    <row r="148" spans="3:3">
      <c r="C148" t="s">
        <v>49</v>
      </c>
    </row>
    <row r="149" spans="3:3">
      <c r="C149" t="s">
        <v>1682</v>
      </c>
    </row>
    <row r="150" spans="3:3">
      <c r="C150" t="s">
        <v>1683</v>
      </c>
    </row>
    <row r="151" spans="3:3">
      <c r="C151" t="s">
        <v>856</v>
      </c>
    </row>
    <row r="152" spans="3:3">
      <c r="C152" t="s">
        <v>857</v>
      </c>
    </row>
    <row r="153" spans="3:3">
      <c r="C153">
        <v>5.0999999999999996</v>
      </c>
    </row>
    <row r="154" spans="3:3">
      <c r="C154" t="s">
        <v>1684</v>
      </c>
    </row>
    <row r="155" spans="3:3">
      <c r="C155" t="s">
        <v>858</v>
      </c>
    </row>
    <row r="156" spans="3:3">
      <c r="C156" t="s">
        <v>1685</v>
      </c>
    </row>
    <row r="157" spans="3:3">
      <c r="C157" t="s">
        <v>1686</v>
      </c>
    </row>
    <row r="158" spans="3:3">
      <c r="C158" t="s">
        <v>860</v>
      </c>
    </row>
    <row r="159" spans="3:3">
      <c r="C159" t="s">
        <v>1687</v>
      </c>
    </row>
    <row r="160" spans="3:3">
      <c r="C160" t="s">
        <v>6</v>
      </c>
    </row>
    <row r="161" spans="3:3">
      <c r="C161" t="s">
        <v>7</v>
      </c>
    </row>
    <row r="162" spans="3:3">
      <c r="C162" t="s">
        <v>861</v>
      </c>
    </row>
    <row r="163" spans="3:3">
      <c r="C163">
        <v>9.4</v>
      </c>
    </row>
    <row r="164" spans="3:3">
      <c r="C164" t="s">
        <v>1688</v>
      </c>
    </row>
    <row r="165" spans="3:3">
      <c r="C165" t="s">
        <v>8</v>
      </c>
    </row>
    <row r="166" spans="3:3">
      <c r="C166" t="s">
        <v>1689</v>
      </c>
    </row>
    <row r="167" spans="3:3">
      <c r="C167" t="s">
        <v>60</v>
      </c>
    </row>
    <row r="168" spans="3:3">
      <c r="C168" t="s">
        <v>9</v>
      </c>
    </row>
    <row r="169" spans="3:3">
      <c r="C169" t="s">
        <v>862</v>
      </c>
    </row>
    <row r="170" spans="3:3">
      <c r="C170" t="s">
        <v>1690</v>
      </c>
    </row>
    <row r="171" spans="3:3">
      <c r="C171" t="s">
        <v>863</v>
      </c>
    </row>
    <row r="172" spans="3:3">
      <c r="C172" t="s">
        <v>864</v>
      </c>
    </row>
    <row r="173" spans="3:3">
      <c r="C173">
        <v>7.11</v>
      </c>
    </row>
    <row r="174" spans="3:3">
      <c r="C174" t="s">
        <v>757</v>
      </c>
    </row>
    <row r="175" spans="3:3">
      <c r="C175" t="s">
        <v>865</v>
      </c>
    </row>
    <row r="176" spans="3:3">
      <c r="C176" t="s">
        <v>857</v>
      </c>
    </row>
    <row r="177" spans="3:3">
      <c r="C177">
        <v>5.0999999999999996</v>
      </c>
    </row>
    <row r="178" spans="3:3">
      <c r="C178" t="s">
        <v>1691</v>
      </c>
    </row>
    <row r="179" spans="3:3">
      <c r="C179" t="s">
        <v>51</v>
      </c>
    </row>
    <row r="180" spans="3:3">
      <c r="C180" t="s">
        <v>867</v>
      </c>
    </row>
    <row r="181" spans="3:3">
      <c r="C181" t="s">
        <v>1692</v>
      </c>
    </row>
    <row r="182" spans="3:3">
      <c r="C182" t="s">
        <v>868</v>
      </c>
    </row>
    <row r="183" spans="3:3">
      <c r="C183" t="s">
        <v>870</v>
      </c>
    </row>
    <row r="184" spans="3:3">
      <c r="C184" t="s">
        <v>1693</v>
      </c>
    </row>
    <row r="185" spans="3:3">
      <c r="C185" t="s">
        <v>871</v>
      </c>
    </row>
    <row r="186" spans="3:3">
      <c r="C186" t="s">
        <v>1694</v>
      </c>
    </row>
    <row r="187" spans="3:3">
      <c r="C187" t="s">
        <v>2</v>
      </c>
    </row>
    <row r="188" spans="3:3">
      <c r="C188" t="s">
        <v>2</v>
      </c>
    </row>
    <row r="189" spans="3:3">
      <c r="C189" t="s">
        <v>872</v>
      </c>
    </row>
    <row r="190" spans="3:3">
      <c r="C190" t="s">
        <v>1695</v>
      </c>
    </row>
    <row r="191" spans="3:3">
      <c r="C191" t="s">
        <v>873</v>
      </c>
    </row>
    <row r="192" spans="3:3">
      <c r="C192" t="s">
        <v>874</v>
      </c>
    </row>
    <row r="193" spans="3:3">
      <c r="C193" t="s">
        <v>1696</v>
      </c>
    </row>
    <row r="194" spans="3:3">
      <c r="C194" t="s">
        <v>875</v>
      </c>
    </row>
    <row r="195" spans="3:3">
      <c r="C195" t="s">
        <v>1697</v>
      </c>
    </row>
    <row r="196" spans="3:3">
      <c r="C196" t="s">
        <v>2</v>
      </c>
    </row>
    <row r="197" spans="3:3">
      <c r="C197" t="s">
        <v>2</v>
      </c>
    </row>
    <row r="198" spans="3:3">
      <c r="C198" t="s">
        <v>872</v>
      </c>
    </row>
    <row r="199" spans="3:3">
      <c r="C199" t="s">
        <v>1698</v>
      </c>
    </row>
    <row r="200" spans="3:3">
      <c r="C200" t="s">
        <v>876</v>
      </c>
    </row>
    <row r="201" spans="3:3">
      <c r="C201" t="s">
        <v>1699</v>
      </c>
    </row>
    <row r="202" spans="3:3">
      <c r="C202" t="s">
        <v>801</v>
      </c>
    </row>
    <row r="203" spans="3:3">
      <c r="C203" t="s">
        <v>1700</v>
      </c>
    </row>
    <row r="204" spans="3:3">
      <c r="C204">
        <v>4.7</v>
      </c>
    </row>
    <row r="205" spans="3:3">
      <c r="C205" t="s">
        <v>1701</v>
      </c>
    </row>
    <row r="206" spans="3:3">
      <c r="C206" t="s">
        <v>877</v>
      </c>
    </row>
    <row r="207" spans="3:3">
      <c r="C207" t="s">
        <v>1702</v>
      </c>
    </row>
    <row r="208" spans="3:3">
      <c r="C208">
        <v>4.7</v>
      </c>
    </row>
    <row r="209" spans="3:3">
      <c r="C209" t="s">
        <v>1701</v>
      </c>
    </row>
    <row r="210" spans="3:3">
      <c r="C210" t="s">
        <v>877</v>
      </c>
    </row>
    <row r="211" spans="3:3">
      <c r="C211" t="s">
        <v>1703</v>
      </c>
    </row>
    <row r="212" spans="3:3">
      <c r="C212" t="s">
        <v>813</v>
      </c>
    </row>
    <row r="213" spans="3:3">
      <c r="C213" t="s">
        <v>814</v>
      </c>
    </row>
    <row r="214" spans="3:3">
      <c r="C214" t="s">
        <v>319</v>
      </c>
    </row>
    <row r="215" spans="3:3">
      <c r="C215" t="s">
        <v>320</v>
      </c>
    </row>
    <row r="216" spans="3:3">
      <c r="C216">
        <v>5</v>
      </c>
    </row>
    <row r="217" spans="3:3">
      <c r="C217" t="s">
        <v>829</v>
      </c>
    </row>
    <row r="218" spans="3:3">
      <c r="C218" t="s">
        <v>878</v>
      </c>
    </row>
    <row r="219" spans="3:3">
      <c r="C219" t="s">
        <v>1704</v>
      </c>
    </row>
    <row r="220" spans="3:3">
      <c r="C220" t="s">
        <v>10</v>
      </c>
    </row>
    <row r="221" spans="3:3">
      <c r="C221" t="s">
        <v>11</v>
      </c>
    </row>
    <row r="222" spans="3:3">
      <c r="C222" t="s">
        <v>327</v>
      </c>
    </row>
    <row r="223" spans="3:3">
      <c r="C223" t="s">
        <v>0</v>
      </c>
    </row>
    <row r="224" spans="3:3">
      <c r="C224">
        <v>7.1</v>
      </c>
    </row>
    <row r="225" spans="3:3">
      <c r="C225" t="s">
        <v>1705</v>
      </c>
    </row>
    <row r="226" spans="3:3">
      <c r="C226" t="s">
        <v>1706</v>
      </c>
    </row>
    <row r="227" spans="3:3">
      <c r="C227" t="s">
        <v>328</v>
      </c>
    </row>
    <row r="228" spans="3:3">
      <c r="C228">
        <v>7.2</v>
      </c>
    </row>
    <row r="229" spans="3:3">
      <c r="C229" t="s">
        <v>1707</v>
      </c>
    </row>
    <row r="230" spans="3:3">
      <c r="C230" t="s">
        <v>1708</v>
      </c>
    </row>
    <row r="231" spans="3:3">
      <c r="C231" t="s">
        <v>330</v>
      </c>
    </row>
    <row r="232" spans="3:3">
      <c r="C232" t="s">
        <v>1709</v>
      </c>
    </row>
    <row r="233" spans="3:3">
      <c r="C233" t="s">
        <v>1604</v>
      </c>
    </row>
    <row r="234" spans="3:3">
      <c r="C234" t="s">
        <v>329</v>
      </c>
    </row>
    <row r="235" spans="3:3">
      <c r="C235">
        <v>7.3</v>
      </c>
    </row>
    <row r="236" spans="3:3">
      <c r="C236" t="s">
        <v>1710</v>
      </c>
    </row>
    <row r="237" spans="3:3">
      <c r="C237" t="s">
        <v>1711</v>
      </c>
    </row>
    <row r="238" spans="3:3">
      <c r="C238" t="s">
        <v>879</v>
      </c>
    </row>
    <row r="239" spans="3:3">
      <c r="C239" t="s">
        <v>1712</v>
      </c>
    </row>
    <row r="240" spans="3:3">
      <c r="C240" t="s">
        <v>71</v>
      </c>
    </row>
    <row r="241" spans="3:3">
      <c r="C241" t="s">
        <v>331</v>
      </c>
    </row>
    <row r="242" spans="3:3">
      <c r="C242">
        <v>5.2</v>
      </c>
    </row>
    <row r="243" spans="3:3">
      <c r="C243" t="s">
        <v>1713</v>
      </c>
    </row>
    <row r="244" spans="3:3">
      <c r="C244" t="s">
        <v>1073</v>
      </c>
    </row>
    <row r="245" spans="3:3">
      <c r="C245" t="s">
        <v>880</v>
      </c>
    </row>
    <row r="246" spans="3:3">
      <c r="C246">
        <v>7.5</v>
      </c>
    </row>
    <row r="247" spans="3:3">
      <c r="C247" t="s">
        <v>1714</v>
      </c>
    </row>
    <row r="248" spans="3:3">
      <c r="C248" t="s">
        <v>1715</v>
      </c>
    </row>
    <row r="249" spans="3:3">
      <c r="C249" t="s">
        <v>332</v>
      </c>
    </row>
    <row r="250" spans="3:3">
      <c r="C250">
        <v>7.6</v>
      </c>
    </row>
    <row r="251" spans="3:3">
      <c r="C251" t="s">
        <v>1716</v>
      </c>
    </row>
    <row r="252" spans="3:3">
      <c r="C252" t="s">
        <v>1717</v>
      </c>
    </row>
    <row r="253" spans="3:3">
      <c r="C253" t="s">
        <v>333</v>
      </c>
    </row>
    <row r="254" spans="3:3">
      <c r="C254" t="s">
        <v>1718</v>
      </c>
    </row>
    <row r="255" spans="3:3">
      <c r="C255" t="s">
        <v>1719</v>
      </c>
    </row>
    <row r="256" spans="3:3">
      <c r="C256" t="s">
        <v>12</v>
      </c>
    </row>
    <row r="257" spans="3:3">
      <c r="C257" t="s">
        <v>13</v>
      </c>
    </row>
    <row r="258" spans="3:3">
      <c r="C258">
        <v>7.7</v>
      </c>
    </row>
    <row r="259" spans="3:3">
      <c r="C259" t="s">
        <v>1720</v>
      </c>
    </row>
    <row r="260" spans="3:3">
      <c r="C260" t="s">
        <v>1721</v>
      </c>
    </row>
    <row r="261" spans="3:3">
      <c r="C261" t="s">
        <v>334</v>
      </c>
    </row>
    <row r="262" spans="3:3">
      <c r="C262">
        <v>7.8</v>
      </c>
    </row>
    <row r="263" spans="3:3">
      <c r="C263" t="s">
        <v>1722</v>
      </c>
    </row>
    <row r="264" spans="3:3">
      <c r="C264" t="s">
        <v>1354</v>
      </c>
    </row>
    <row r="265" spans="3:3">
      <c r="C265" t="s">
        <v>335</v>
      </c>
    </row>
    <row r="266" spans="3:3">
      <c r="C266" t="s">
        <v>1723</v>
      </c>
    </row>
    <row r="267" spans="3:3">
      <c r="C267" t="s">
        <v>147</v>
      </c>
    </row>
    <row r="268" spans="3:3">
      <c r="C268" t="s">
        <v>14</v>
      </c>
    </row>
    <row r="269" spans="3:3">
      <c r="C269">
        <v>9.4</v>
      </c>
    </row>
    <row r="270" spans="3:3">
      <c r="C270" t="s">
        <v>1724</v>
      </c>
    </row>
    <row r="271" spans="3:3">
      <c r="C271" t="s">
        <v>15</v>
      </c>
    </row>
    <row r="272" spans="3:3">
      <c r="C272" t="s">
        <v>880</v>
      </c>
    </row>
    <row r="273" spans="3:3">
      <c r="C273">
        <v>7.5</v>
      </c>
    </row>
    <row r="274" spans="3:3">
      <c r="C274" t="s">
        <v>1725</v>
      </c>
    </row>
    <row r="275" spans="3:3">
      <c r="C275" t="s">
        <v>2</v>
      </c>
    </row>
    <row r="276" spans="3:3">
      <c r="C276" t="s">
        <v>697</v>
      </c>
    </row>
    <row r="277" spans="3:3">
      <c r="C277" t="s">
        <v>1726</v>
      </c>
    </row>
    <row r="278" spans="3:3">
      <c r="C278" t="s">
        <v>2</v>
      </c>
    </row>
    <row r="279" spans="3:3">
      <c r="C279" t="s">
        <v>336</v>
      </c>
    </row>
    <row r="280" spans="3:3">
      <c r="C280" t="s">
        <v>1727</v>
      </c>
    </row>
    <row r="281" spans="3:3">
      <c r="C281" t="s">
        <v>1728</v>
      </c>
    </row>
    <row r="282" spans="3:3">
      <c r="C282" t="s">
        <v>16</v>
      </c>
    </row>
    <row r="283" spans="3:3">
      <c r="C283" t="s">
        <v>1729</v>
      </c>
    </row>
    <row r="284" spans="3:3">
      <c r="C284" t="s">
        <v>1730</v>
      </c>
    </row>
    <row r="285" spans="3:3">
      <c r="C285" t="s">
        <v>17</v>
      </c>
    </row>
    <row r="286" spans="3:3">
      <c r="C286" t="s">
        <v>1731</v>
      </c>
    </row>
    <row r="287" spans="3:3">
      <c r="C287" t="s">
        <v>1732</v>
      </c>
    </row>
    <row r="288" spans="3:3">
      <c r="C288" t="s">
        <v>813</v>
      </c>
    </row>
    <row r="289" spans="3:3">
      <c r="C289" t="s">
        <v>814</v>
      </c>
    </row>
    <row r="290" spans="3:3">
      <c r="C290" t="s">
        <v>319</v>
      </c>
    </row>
    <row r="291" spans="3:3">
      <c r="C291" t="s">
        <v>320</v>
      </c>
    </row>
    <row r="292" spans="3:3">
      <c r="C292">
        <v>6</v>
      </c>
    </row>
    <row r="293" spans="3:3">
      <c r="C293" t="s">
        <v>829</v>
      </c>
    </row>
    <row r="294" spans="3:3">
      <c r="C294" t="s">
        <v>884</v>
      </c>
    </row>
    <row r="295" spans="3:3">
      <c r="C295" t="s">
        <v>1704</v>
      </c>
    </row>
    <row r="296" spans="3:3">
      <c r="C296" t="s">
        <v>10</v>
      </c>
    </row>
    <row r="297" spans="3:3">
      <c r="C297" t="s">
        <v>337</v>
      </c>
    </row>
    <row r="298" spans="3:3">
      <c r="C298" t="s">
        <v>338</v>
      </c>
    </row>
    <row r="299" spans="3:3">
      <c r="C299" t="s">
        <v>1733</v>
      </c>
    </row>
    <row r="300" spans="3:3">
      <c r="C300" t="s">
        <v>18</v>
      </c>
    </row>
    <row r="301" spans="3:3">
      <c r="C301" t="s">
        <v>18</v>
      </c>
    </row>
    <row r="302" spans="3:3">
      <c r="C302" t="s">
        <v>339</v>
      </c>
    </row>
    <row r="303" spans="3:3">
      <c r="C303" t="s">
        <v>19</v>
      </c>
    </row>
    <row r="304" spans="3:3">
      <c r="C304" t="s">
        <v>19</v>
      </c>
    </row>
    <row r="305" spans="3:3">
      <c r="C305" t="s">
        <v>340</v>
      </c>
    </row>
    <row r="306" spans="3:3">
      <c r="C306">
        <v>9.4</v>
      </c>
    </row>
    <row r="307" spans="3:3">
      <c r="C307" t="s">
        <v>71</v>
      </c>
    </row>
    <row r="308" spans="3:3">
      <c r="C308" t="s">
        <v>20</v>
      </c>
    </row>
    <row r="309" spans="3:3">
      <c r="C309" t="s">
        <v>21</v>
      </c>
    </row>
    <row r="310" spans="3:3">
      <c r="C310" t="s">
        <v>885</v>
      </c>
    </row>
    <row r="311" spans="3:3">
      <c r="C311" t="s">
        <v>1734</v>
      </c>
    </row>
    <row r="312" spans="3:3">
      <c r="C312" t="s">
        <v>886</v>
      </c>
    </row>
    <row r="313" spans="3:3">
      <c r="C313" t="s">
        <v>888</v>
      </c>
    </row>
    <row r="314" spans="3:3">
      <c r="C314" t="s">
        <v>2</v>
      </c>
    </row>
    <row r="315" spans="3:3">
      <c r="C315" t="s">
        <v>2</v>
      </c>
    </row>
    <row r="316" spans="3:3">
      <c r="C316" t="s">
        <v>889</v>
      </c>
    </row>
    <row r="317" spans="3:3">
      <c r="C317" t="s">
        <v>1735</v>
      </c>
    </row>
    <row r="318" spans="3:3">
      <c r="C318" t="s">
        <v>890</v>
      </c>
    </row>
    <row r="319" spans="3:3">
      <c r="C319" t="s">
        <v>892</v>
      </c>
    </row>
    <row r="320" spans="3:3">
      <c r="C320" t="s">
        <v>893</v>
      </c>
    </row>
    <row r="321" spans="3:3">
      <c r="C321" t="s">
        <v>1736</v>
      </c>
    </row>
    <row r="322" spans="3:3">
      <c r="C322" t="s">
        <v>894</v>
      </c>
    </row>
    <row r="323" spans="3:3">
      <c r="C323" t="s">
        <v>341</v>
      </c>
    </row>
    <row r="324" spans="3:3">
      <c r="C324" t="s">
        <v>1737</v>
      </c>
    </row>
    <row r="325" spans="3:3">
      <c r="C325" t="s">
        <v>896</v>
      </c>
    </row>
    <row r="326" spans="3:3">
      <c r="C326" t="s">
        <v>342</v>
      </c>
    </row>
    <row r="327" spans="3:3">
      <c r="C327" t="s">
        <v>343</v>
      </c>
    </row>
    <row r="328" spans="3:3">
      <c r="C328" t="s">
        <v>344</v>
      </c>
    </row>
    <row r="329" spans="3:3">
      <c r="C329">
        <v>6.1</v>
      </c>
    </row>
    <row r="330" spans="3:3">
      <c r="C330" t="s">
        <v>1738</v>
      </c>
    </row>
    <row r="331" spans="3:3">
      <c r="C331" t="s">
        <v>1739</v>
      </c>
    </row>
    <row r="332" spans="3:3">
      <c r="C332" t="s">
        <v>345</v>
      </c>
    </row>
    <row r="333" spans="3:3">
      <c r="C333">
        <v>5.2</v>
      </c>
    </row>
    <row r="334" spans="3:3">
      <c r="C334" t="s">
        <v>1740</v>
      </c>
    </row>
    <row r="335" spans="3:3">
      <c r="C335" t="s">
        <v>1074</v>
      </c>
    </row>
    <row r="336" spans="3:3">
      <c r="C336" t="s">
        <v>346</v>
      </c>
    </row>
    <row r="337" spans="3:3">
      <c r="C337">
        <v>7.11</v>
      </c>
    </row>
    <row r="338" spans="3:3">
      <c r="C338" t="s">
        <v>1741</v>
      </c>
    </row>
    <row r="339" spans="3:3">
      <c r="C339" t="s">
        <v>1742</v>
      </c>
    </row>
    <row r="340" spans="3:3">
      <c r="C340" t="s">
        <v>22</v>
      </c>
    </row>
    <row r="341" spans="3:3">
      <c r="C341">
        <v>7.12</v>
      </c>
    </row>
    <row r="342" spans="3:3">
      <c r="C342" t="s">
        <v>1743</v>
      </c>
    </row>
    <row r="343" spans="3:3">
      <c r="C343" t="s">
        <v>1744</v>
      </c>
    </row>
    <row r="344" spans="3:3">
      <c r="C344" t="s">
        <v>347</v>
      </c>
    </row>
    <row r="345" spans="3:3">
      <c r="C345">
        <v>6.2</v>
      </c>
    </row>
    <row r="346" spans="3:3">
      <c r="C346" t="s">
        <v>1745</v>
      </c>
    </row>
    <row r="347" spans="3:3">
      <c r="C347" t="s">
        <v>1147</v>
      </c>
    </row>
    <row r="348" spans="3:3">
      <c r="C348" t="s">
        <v>348</v>
      </c>
    </row>
    <row r="349" spans="3:3">
      <c r="C349">
        <v>7.13</v>
      </c>
    </row>
    <row r="350" spans="3:3">
      <c r="C350" t="s">
        <v>1746</v>
      </c>
    </row>
    <row r="351" spans="3:3">
      <c r="C351" t="s">
        <v>1747</v>
      </c>
    </row>
    <row r="352" spans="3:3">
      <c r="C352" t="s">
        <v>349</v>
      </c>
    </row>
    <row r="353" spans="3:3">
      <c r="C353" t="s">
        <v>1748</v>
      </c>
    </row>
    <row r="354" spans="3:3">
      <c r="C354" t="s">
        <v>1749</v>
      </c>
    </row>
    <row r="355" spans="3:3">
      <c r="C355" t="s">
        <v>350</v>
      </c>
    </row>
    <row r="356" spans="3:3">
      <c r="C356" t="s">
        <v>344</v>
      </c>
    </row>
    <row r="357" spans="3:3">
      <c r="C357">
        <v>6.1</v>
      </c>
    </row>
    <row r="358" spans="3:3">
      <c r="C358" t="s">
        <v>1750</v>
      </c>
    </row>
    <row r="359" spans="3:3">
      <c r="C359" t="s">
        <v>1751</v>
      </c>
    </row>
    <row r="360" spans="3:3">
      <c r="C360" t="s">
        <v>14</v>
      </c>
    </row>
    <row r="361" spans="3:3">
      <c r="C361">
        <v>9.4</v>
      </c>
    </row>
    <row r="362" spans="3:3">
      <c r="C362" t="s">
        <v>1752</v>
      </c>
    </row>
    <row r="363" spans="3:3">
      <c r="C363" t="s">
        <v>24</v>
      </c>
    </row>
    <row r="364" spans="3:3">
      <c r="C364" t="s">
        <v>699</v>
      </c>
    </row>
    <row r="365" spans="3:3">
      <c r="C365" t="s">
        <v>1753</v>
      </c>
    </row>
    <row r="366" spans="3:3">
      <c r="C366" t="s">
        <v>1754</v>
      </c>
    </row>
    <row r="367" spans="3:3">
      <c r="C367" t="s">
        <v>346</v>
      </c>
    </row>
    <row r="368" spans="3:3">
      <c r="C368">
        <v>7.11</v>
      </c>
    </row>
    <row r="369" spans="3:3">
      <c r="C369" t="s">
        <v>1755</v>
      </c>
    </row>
    <row r="370" spans="3:3">
      <c r="C370" t="s">
        <v>1756</v>
      </c>
    </row>
    <row r="371" spans="3:3">
      <c r="C371" t="s">
        <v>22</v>
      </c>
    </row>
    <row r="372" spans="3:3">
      <c r="C372">
        <v>7.12</v>
      </c>
    </row>
    <row r="373" spans="3:3">
      <c r="C373" t="s">
        <v>1757</v>
      </c>
    </row>
    <row r="374" spans="3:3">
      <c r="C374" t="s">
        <v>1758</v>
      </c>
    </row>
    <row r="375" spans="3:3">
      <c r="C375" t="s">
        <v>347</v>
      </c>
    </row>
    <row r="376" spans="3:3">
      <c r="C376">
        <v>6.2</v>
      </c>
    </row>
    <row r="377" spans="3:3">
      <c r="C377" t="s">
        <v>1759</v>
      </c>
    </row>
    <row r="378" spans="3:3">
      <c r="C378" t="s">
        <v>161</v>
      </c>
    </row>
    <row r="379" spans="3:3">
      <c r="C379" t="s">
        <v>898</v>
      </c>
    </row>
    <row r="380" spans="3:3">
      <c r="C380">
        <v>7.5</v>
      </c>
    </row>
    <row r="381" spans="3:3">
      <c r="C381" t="s">
        <v>1760</v>
      </c>
    </row>
    <row r="382" spans="3:3">
      <c r="C382" t="s">
        <v>1761</v>
      </c>
    </row>
    <row r="383" spans="3:3">
      <c r="C383" t="s">
        <v>348</v>
      </c>
    </row>
    <row r="384" spans="3:3">
      <c r="C384">
        <v>7.13</v>
      </c>
    </row>
    <row r="385" spans="3:3">
      <c r="C385" t="s">
        <v>1762</v>
      </c>
    </row>
    <row r="386" spans="3:3">
      <c r="C386" t="s">
        <v>1763</v>
      </c>
    </row>
    <row r="387" spans="3:3">
      <c r="C387" t="s">
        <v>351</v>
      </c>
    </row>
    <row r="388" spans="3:3">
      <c r="C388" t="s">
        <v>3620</v>
      </c>
    </row>
    <row r="389" spans="3:3">
      <c r="C389" t="s">
        <v>3621</v>
      </c>
    </row>
    <row r="390" spans="3:3">
      <c r="C390" t="s">
        <v>3622</v>
      </c>
    </row>
    <row r="391" spans="3:3">
      <c r="C391" t="s">
        <v>1764</v>
      </c>
    </row>
    <row r="392" spans="3:3">
      <c r="C392" t="s">
        <v>1765</v>
      </c>
    </row>
    <row r="393" spans="3:3">
      <c r="C393" t="s">
        <v>352</v>
      </c>
    </row>
    <row r="394" spans="3:3">
      <c r="C394" t="s">
        <v>1766</v>
      </c>
    </row>
    <row r="395" spans="3:3">
      <c r="C395" t="s">
        <v>1767</v>
      </c>
    </row>
    <row r="396" spans="3:3">
      <c r="C396" t="s">
        <v>353</v>
      </c>
    </row>
    <row r="397" spans="3:3">
      <c r="C397" t="s">
        <v>1731</v>
      </c>
    </row>
    <row r="398" spans="3:3">
      <c r="C398" t="s">
        <v>1732</v>
      </c>
    </row>
    <row r="399" spans="3:3">
      <c r="C399" t="s">
        <v>813</v>
      </c>
    </row>
    <row r="400" spans="3:3">
      <c r="C400" t="s">
        <v>814</v>
      </c>
    </row>
    <row r="401" spans="3:3">
      <c r="C401" t="s">
        <v>319</v>
      </c>
    </row>
    <row r="402" spans="3:3">
      <c r="C402" t="s">
        <v>320</v>
      </c>
    </row>
    <row r="403" spans="3:3">
      <c r="C403">
        <v>7</v>
      </c>
    </row>
    <row r="404" spans="3:3">
      <c r="C404" t="s">
        <v>829</v>
      </c>
    </row>
    <row r="405" spans="3:3">
      <c r="C405" t="s">
        <v>899</v>
      </c>
    </row>
    <row r="406" spans="3:3">
      <c r="C406" t="s">
        <v>900</v>
      </c>
    </row>
    <row r="407" spans="3:3">
      <c r="C407" t="s">
        <v>338</v>
      </c>
    </row>
    <row r="408" spans="3:3">
      <c r="C408" t="s">
        <v>339</v>
      </c>
    </row>
    <row r="409" spans="3:3">
      <c r="C409" t="s">
        <v>340</v>
      </c>
    </row>
    <row r="410" spans="3:3">
      <c r="C410" t="s">
        <v>21</v>
      </c>
    </row>
    <row r="411" spans="3:3">
      <c r="C411" t="s">
        <v>80</v>
      </c>
    </row>
    <row r="412" spans="3:3">
      <c r="C412" t="s">
        <v>901</v>
      </c>
    </row>
    <row r="413" spans="3:3">
      <c r="C413" t="s">
        <v>1768</v>
      </c>
    </row>
    <row r="414" spans="3:3">
      <c r="C414" t="s">
        <v>1769</v>
      </c>
    </row>
    <row r="415" spans="3:3">
      <c r="C415" t="s">
        <v>18</v>
      </c>
    </row>
    <row r="416" spans="3:3">
      <c r="C416" t="s">
        <v>19</v>
      </c>
    </row>
    <row r="417" spans="3:3">
      <c r="C417" t="s">
        <v>9</v>
      </c>
    </row>
    <row r="418" spans="3:3">
      <c r="C418" t="s">
        <v>887</v>
      </c>
    </row>
    <row r="419" spans="3:3">
      <c r="C419" t="s">
        <v>891</v>
      </c>
    </row>
    <row r="420" spans="3:3">
      <c r="C420" t="s">
        <v>895</v>
      </c>
    </row>
    <row r="421" spans="3:3">
      <c r="C421" t="s">
        <v>897</v>
      </c>
    </row>
    <row r="422" spans="3:3">
      <c r="C422" t="s">
        <v>354</v>
      </c>
    </row>
    <row r="423" spans="3:3">
      <c r="C423" t="s">
        <v>2</v>
      </c>
    </row>
    <row r="424" spans="3:3">
      <c r="C424" t="s">
        <v>2</v>
      </c>
    </row>
    <row r="425" spans="3:3">
      <c r="C425" t="s">
        <v>7</v>
      </c>
    </row>
    <row r="426" spans="3:3">
      <c r="C426" t="s">
        <v>1770</v>
      </c>
    </row>
    <row r="427" spans="3:3">
      <c r="C427" t="s">
        <v>876</v>
      </c>
    </row>
    <row r="428" spans="3:3">
      <c r="C428" t="s">
        <v>801</v>
      </c>
    </row>
    <row r="429" spans="3:3">
      <c r="C429" t="s">
        <v>871</v>
      </c>
    </row>
    <row r="430" spans="3:3">
      <c r="C430" t="s">
        <v>25</v>
      </c>
    </row>
    <row r="431" spans="3:3">
      <c r="C431" t="s">
        <v>2</v>
      </c>
    </row>
    <row r="432" spans="3:3">
      <c r="C432" t="s">
        <v>2</v>
      </c>
    </row>
    <row r="433" spans="3:3">
      <c r="C433" t="s">
        <v>2</v>
      </c>
    </row>
    <row r="434" spans="3:3">
      <c r="C434" t="s">
        <v>873</v>
      </c>
    </row>
    <row r="435" spans="3:3">
      <c r="C435" t="s">
        <v>873</v>
      </c>
    </row>
    <row r="436" spans="3:3">
      <c r="C436" t="s">
        <v>875</v>
      </c>
    </row>
    <row r="437" spans="3:3">
      <c r="C437" t="s">
        <v>860</v>
      </c>
    </row>
    <row r="438" spans="3:3">
      <c r="C438" t="s">
        <v>355</v>
      </c>
    </row>
    <row r="439" spans="3:3">
      <c r="C439" t="s">
        <v>2</v>
      </c>
    </row>
    <row r="440" spans="3:3">
      <c r="C440" t="s">
        <v>2</v>
      </c>
    </row>
    <row r="441" spans="3:3">
      <c r="C441" t="s">
        <v>7</v>
      </c>
    </row>
    <row r="442" spans="3:3">
      <c r="C442" t="s">
        <v>1313</v>
      </c>
    </row>
    <row r="443" spans="3:3">
      <c r="C443" t="s">
        <v>1771</v>
      </c>
    </row>
    <row r="444" spans="3:3">
      <c r="C444" t="s">
        <v>123</v>
      </c>
    </row>
    <row r="445" spans="3:3">
      <c r="C445" t="s">
        <v>1772</v>
      </c>
    </row>
    <row r="446" spans="3:3">
      <c r="C446" t="s">
        <v>2</v>
      </c>
    </row>
    <row r="447" spans="3:3">
      <c r="C447" t="s">
        <v>2</v>
      </c>
    </row>
    <row r="448" spans="3:3">
      <c r="C448" t="s">
        <v>2</v>
      </c>
    </row>
    <row r="449" spans="3:3">
      <c r="C449" t="s">
        <v>2</v>
      </c>
    </row>
    <row r="450" spans="3:3">
      <c r="C450" t="s">
        <v>2</v>
      </c>
    </row>
    <row r="451" spans="3:3">
      <c r="C451" t="s">
        <v>132</v>
      </c>
    </row>
    <row r="452" spans="3:3">
      <c r="C452" t="s">
        <v>1773</v>
      </c>
    </row>
    <row r="453" spans="3:3">
      <c r="C453" t="s">
        <v>2</v>
      </c>
    </row>
    <row r="454" spans="3:3">
      <c r="C454" t="s">
        <v>2</v>
      </c>
    </row>
    <row r="455" spans="3:3">
      <c r="C455" t="s">
        <v>2</v>
      </c>
    </row>
    <row r="456" spans="3:3">
      <c r="C456" t="s">
        <v>70</v>
      </c>
    </row>
    <row r="457" spans="3:3">
      <c r="C457" t="s">
        <v>70</v>
      </c>
    </row>
    <row r="458" spans="3:3">
      <c r="C458" t="s">
        <v>183</v>
      </c>
    </row>
    <row r="459" spans="3:3">
      <c r="C459" t="s">
        <v>152</v>
      </c>
    </row>
    <row r="460" spans="3:3">
      <c r="C460" t="s">
        <v>26</v>
      </c>
    </row>
    <row r="461" spans="3:3">
      <c r="C461" t="s">
        <v>18</v>
      </c>
    </row>
    <row r="462" spans="3:3">
      <c r="C462" t="s">
        <v>19</v>
      </c>
    </row>
    <row r="463" spans="3:3">
      <c r="C463" t="s">
        <v>20</v>
      </c>
    </row>
    <row r="464" spans="3:3">
      <c r="C464" t="s">
        <v>886</v>
      </c>
    </row>
    <row r="465" spans="3:3">
      <c r="C465" t="s">
        <v>890</v>
      </c>
    </row>
    <row r="466" spans="3:3">
      <c r="C466" t="s">
        <v>894</v>
      </c>
    </row>
    <row r="467" spans="3:3">
      <c r="C467" t="s">
        <v>896</v>
      </c>
    </row>
    <row r="468" spans="3:3">
      <c r="C468" t="s">
        <v>813</v>
      </c>
    </row>
    <row r="469" spans="3:3">
      <c r="C469" t="s">
        <v>814</v>
      </c>
    </row>
    <row r="470" spans="3:3">
      <c r="C470" t="s">
        <v>319</v>
      </c>
    </row>
    <row r="471" spans="3:3">
      <c r="C471" t="s">
        <v>320</v>
      </c>
    </row>
    <row r="472" spans="3:3">
      <c r="C472">
        <v>8</v>
      </c>
    </row>
    <row r="473" spans="3:3">
      <c r="C473" t="s">
        <v>829</v>
      </c>
    </row>
    <row r="474" spans="3:3">
      <c r="C474" t="s">
        <v>903</v>
      </c>
    </row>
    <row r="475" spans="3:3">
      <c r="C475" t="s">
        <v>831</v>
      </c>
    </row>
    <row r="476" spans="3:3">
      <c r="C476" t="s">
        <v>831</v>
      </c>
    </row>
    <row r="477" spans="3:3">
      <c r="C477" t="s">
        <v>832</v>
      </c>
    </row>
    <row r="478" spans="3:3">
      <c r="C478" t="s">
        <v>833</v>
      </c>
    </row>
    <row r="479" spans="3:3">
      <c r="C479" t="s">
        <v>47</v>
      </c>
    </row>
    <row r="480" spans="3:3">
      <c r="C480" t="s">
        <v>48</v>
      </c>
    </row>
    <row r="481" spans="3:3">
      <c r="C481" t="s">
        <v>356</v>
      </c>
    </row>
    <row r="482" spans="3:3">
      <c r="C482" t="s">
        <v>357</v>
      </c>
    </row>
    <row r="483" spans="3:3">
      <c r="C483">
        <v>8.1</v>
      </c>
    </row>
    <row r="484" spans="3:3">
      <c r="C484" t="s">
        <v>1774</v>
      </c>
    </row>
    <row r="485" spans="3:3">
      <c r="C485" t="s">
        <v>1775</v>
      </c>
    </row>
    <row r="486" spans="3:3">
      <c r="C486" t="s">
        <v>358</v>
      </c>
    </row>
    <row r="487" spans="3:3">
      <c r="C487" t="s">
        <v>1776</v>
      </c>
    </row>
    <row r="488" spans="3:3">
      <c r="C488" t="s">
        <v>154</v>
      </c>
    </row>
    <row r="489" spans="3:3">
      <c r="C489" t="s">
        <v>359</v>
      </c>
    </row>
    <row r="490" spans="3:3">
      <c r="C490" t="s">
        <v>1777</v>
      </c>
    </row>
    <row r="491" spans="3:3">
      <c r="C491" t="s">
        <v>1778</v>
      </c>
    </row>
    <row r="492" spans="3:3">
      <c r="C492" t="s">
        <v>360</v>
      </c>
    </row>
    <row r="493" spans="3:3">
      <c r="C493" t="s">
        <v>1779</v>
      </c>
    </row>
    <row r="494" spans="3:3">
      <c r="C494" t="s">
        <v>1780</v>
      </c>
    </row>
    <row r="495" spans="3:3">
      <c r="C495" t="s">
        <v>361</v>
      </c>
    </row>
    <row r="496" spans="3:3">
      <c r="C496" t="s">
        <v>362</v>
      </c>
    </row>
    <row r="497" spans="3:3">
      <c r="C497" t="s">
        <v>1781</v>
      </c>
    </row>
    <row r="498" spans="3:3">
      <c r="C498" t="s">
        <v>1782</v>
      </c>
    </row>
    <row r="499" spans="3:3">
      <c r="C499" t="s">
        <v>700</v>
      </c>
    </row>
    <row r="500" spans="3:3">
      <c r="C500">
        <v>6.3</v>
      </c>
    </row>
    <row r="501" spans="3:3">
      <c r="C501" t="s">
        <v>1783</v>
      </c>
    </row>
    <row r="502" spans="3:3">
      <c r="C502" t="s">
        <v>1784</v>
      </c>
    </row>
    <row r="503" spans="3:3">
      <c r="C503" t="s">
        <v>363</v>
      </c>
    </row>
    <row r="504" spans="3:3">
      <c r="C504" t="s">
        <v>1785</v>
      </c>
    </row>
    <row r="505" spans="3:3">
      <c r="C505" t="s">
        <v>1786</v>
      </c>
    </row>
    <row r="506" spans="3:3">
      <c r="C506" t="s">
        <v>364</v>
      </c>
    </row>
    <row r="507" spans="3:3">
      <c r="C507" t="s">
        <v>1787</v>
      </c>
    </row>
    <row r="508" spans="3:3">
      <c r="C508" t="s">
        <v>257</v>
      </c>
    </row>
    <row r="509" spans="3:3">
      <c r="C509" t="s">
        <v>365</v>
      </c>
    </row>
    <row r="510" spans="3:3">
      <c r="C510" t="s">
        <v>1788</v>
      </c>
    </row>
    <row r="511" spans="3:3">
      <c r="C511" t="s">
        <v>151</v>
      </c>
    </row>
    <row r="512" spans="3:3">
      <c r="C512" t="s">
        <v>904</v>
      </c>
    </row>
    <row r="513" spans="3:3">
      <c r="C513">
        <v>7.5</v>
      </c>
    </row>
    <row r="514" spans="3:3">
      <c r="C514" t="s">
        <v>1789</v>
      </c>
    </row>
    <row r="515" spans="3:3">
      <c r="C515" t="s">
        <v>366</v>
      </c>
    </row>
    <row r="516" spans="3:3">
      <c r="C516" t="s">
        <v>1790</v>
      </c>
    </row>
    <row r="517" spans="3:3">
      <c r="C517" t="s">
        <v>32</v>
      </c>
    </row>
    <row r="518" spans="3:3">
      <c r="C518" t="s">
        <v>33</v>
      </c>
    </row>
    <row r="519" spans="3:3">
      <c r="C519" t="s">
        <v>1726</v>
      </c>
    </row>
    <row r="520" spans="3:3">
      <c r="C520" t="s">
        <v>49</v>
      </c>
    </row>
    <row r="521" spans="3:3">
      <c r="C521" t="s">
        <v>35</v>
      </c>
    </row>
    <row r="522" spans="3:3">
      <c r="C522" t="s">
        <v>1791</v>
      </c>
    </row>
    <row r="523" spans="3:3">
      <c r="C523" t="s">
        <v>1792</v>
      </c>
    </row>
    <row r="524" spans="3:3">
      <c r="C524" t="s">
        <v>367</v>
      </c>
    </row>
    <row r="525" spans="3:3">
      <c r="C525" t="s">
        <v>1793</v>
      </c>
    </row>
    <row r="526" spans="3:3">
      <c r="C526" t="s">
        <v>1794</v>
      </c>
    </row>
    <row r="527" spans="3:3">
      <c r="C527" t="s">
        <v>368</v>
      </c>
    </row>
    <row r="528" spans="3:3">
      <c r="C528" t="s">
        <v>369</v>
      </c>
    </row>
    <row r="529" spans="3:3">
      <c r="C529" t="s">
        <v>905</v>
      </c>
    </row>
    <row r="530" spans="3:3">
      <c r="C530" t="s">
        <v>1795</v>
      </c>
    </row>
    <row r="531" spans="3:3">
      <c r="C531" t="s">
        <v>1796</v>
      </c>
    </row>
    <row r="532" spans="3:3">
      <c r="C532" t="s">
        <v>906</v>
      </c>
    </row>
    <row r="533" spans="3:3">
      <c r="C533" t="s">
        <v>1797</v>
      </c>
    </row>
    <row r="534" spans="3:3">
      <c r="C534" t="s">
        <v>801</v>
      </c>
    </row>
    <row r="535" spans="3:3">
      <c r="C535" t="s">
        <v>370</v>
      </c>
    </row>
    <row r="536" spans="3:3">
      <c r="C536" t="s">
        <v>905</v>
      </c>
    </row>
    <row r="537" spans="3:3">
      <c r="C537" t="s">
        <v>1798</v>
      </c>
    </row>
    <row r="538" spans="3:3">
      <c r="C538" t="s">
        <v>1799</v>
      </c>
    </row>
    <row r="539" spans="3:3">
      <c r="C539" t="s">
        <v>371</v>
      </c>
    </row>
    <row r="540" spans="3:3">
      <c r="C540">
        <v>6.3</v>
      </c>
    </row>
    <row r="541" spans="3:3">
      <c r="C541" t="s">
        <v>1800</v>
      </c>
    </row>
    <row r="542" spans="3:3">
      <c r="C542" t="s">
        <v>1801</v>
      </c>
    </row>
    <row r="543" spans="3:3">
      <c r="C543" t="s">
        <v>372</v>
      </c>
    </row>
    <row r="544" spans="3:3">
      <c r="C544" t="s">
        <v>1802</v>
      </c>
    </row>
    <row r="545" spans="3:3">
      <c r="C545" t="s">
        <v>1803</v>
      </c>
    </row>
    <row r="546" spans="3:3">
      <c r="C546" t="s">
        <v>907</v>
      </c>
    </row>
    <row r="547" spans="3:3">
      <c r="C547" t="s">
        <v>881</v>
      </c>
    </row>
    <row r="548" spans="3:3">
      <c r="C548" t="s">
        <v>152</v>
      </c>
    </row>
    <row r="549" spans="3:3">
      <c r="C549" t="s">
        <v>908</v>
      </c>
    </row>
    <row r="550" spans="3:3">
      <c r="C550" t="s">
        <v>881</v>
      </c>
    </row>
    <row r="551" spans="3:3">
      <c r="C551" t="s">
        <v>185</v>
      </c>
    </row>
    <row r="552" spans="3:3">
      <c r="C552" t="s">
        <v>373</v>
      </c>
    </row>
    <row r="553" spans="3:3">
      <c r="C553" t="s">
        <v>1804</v>
      </c>
    </row>
    <row r="554" spans="3:3">
      <c r="C554" t="s">
        <v>1805</v>
      </c>
    </row>
    <row r="555" spans="3:3">
      <c r="C555" t="s">
        <v>374</v>
      </c>
    </row>
    <row r="556" spans="3:3">
      <c r="C556" t="s">
        <v>1806</v>
      </c>
    </row>
    <row r="557" spans="3:3">
      <c r="C557" t="s">
        <v>1807</v>
      </c>
    </row>
    <row r="558" spans="3:3">
      <c r="C558" t="s">
        <v>375</v>
      </c>
    </row>
    <row r="559" spans="3:3">
      <c r="C559" t="s">
        <v>883</v>
      </c>
    </row>
    <row r="560" spans="3:3">
      <c r="C560" t="s">
        <v>909</v>
      </c>
    </row>
    <row r="561" spans="3:3">
      <c r="C561" t="s">
        <v>376</v>
      </c>
    </row>
    <row r="562" spans="3:3">
      <c r="C562" t="s">
        <v>881</v>
      </c>
    </row>
    <row r="563" spans="3:3">
      <c r="C563" t="s">
        <v>29</v>
      </c>
    </row>
    <row r="564" spans="3:3">
      <c r="C564" t="s">
        <v>377</v>
      </c>
    </row>
    <row r="565" spans="3:3">
      <c r="C565" t="s">
        <v>1727</v>
      </c>
    </row>
    <row r="566" spans="3:3">
      <c r="C566" t="s">
        <v>1728</v>
      </c>
    </row>
    <row r="567" spans="3:3">
      <c r="C567" t="s">
        <v>813</v>
      </c>
    </row>
    <row r="568" spans="3:3">
      <c r="C568" t="s">
        <v>814</v>
      </c>
    </row>
    <row r="569" spans="3:3">
      <c r="C569" t="s">
        <v>319</v>
      </c>
    </row>
    <row r="570" spans="3:3">
      <c r="C570" t="s">
        <v>320</v>
      </c>
    </row>
    <row r="571" spans="3:3">
      <c r="C571">
        <v>9</v>
      </c>
    </row>
    <row r="572" spans="3:3">
      <c r="C572" t="s">
        <v>829</v>
      </c>
    </row>
    <row r="573" spans="3:3">
      <c r="C573" t="s">
        <v>38</v>
      </c>
    </row>
    <row r="574" spans="3:3">
      <c r="C574" t="s">
        <v>910</v>
      </c>
    </row>
    <row r="575" spans="3:3">
      <c r="C575" t="s">
        <v>378</v>
      </c>
    </row>
    <row r="576" spans="3:3">
      <c r="C576" t="s">
        <v>379</v>
      </c>
    </row>
    <row r="577" spans="3:3">
      <c r="C577" t="s">
        <v>911</v>
      </c>
    </row>
    <row r="578" spans="3:3">
      <c r="C578" t="s">
        <v>1808</v>
      </c>
    </row>
    <row r="579" spans="3:3">
      <c r="C579" t="s">
        <v>912</v>
      </c>
    </row>
    <row r="580" spans="3:3">
      <c r="C580" t="s">
        <v>913</v>
      </c>
    </row>
    <row r="581" spans="3:3">
      <c r="C581" t="s">
        <v>914</v>
      </c>
    </row>
    <row r="582" spans="3:3">
      <c r="C582" t="s">
        <v>915</v>
      </c>
    </row>
    <row r="583" spans="3:3">
      <c r="C583" t="s">
        <v>1809</v>
      </c>
    </row>
    <row r="584" spans="3:3">
      <c r="C584" t="s">
        <v>1810</v>
      </c>
    </row>
    <row r="585" spans="3:3">
      <c r="C585" t="s">
        <v>916</v>
      </c>
    </row>
    <row r="586" spans="3:3">
      <c r="C586" t="s">
        <v>1811</v>
      </c>
    </row>
    <row r="587" spans="3:3">
      <c r="C587" t="s">
        <v>917</v>
      </c>
    </row>
    <row r="588" spans="3:3">
      <c r="C588" t="s">
        <v>918</v>
      </c>
    </row>
    <row r="589" spans="3:3">
      <c r="C589" t="s">
        <v>919</v>
      </c>
    </row>
    <row r="590" spans="3:3">
      <c r="C590" t="s">
        <v>920</v>
      </c>
    </row>
    <row r="591" spans="3:3">
      <c r="C591" t="s">
        <v>813</v>
      </c>
    </row>
    <row r="592" spans="3:3">
      <c r="C592" t="s">
        <v>814</v>
      </c>
    </row>
    <row r="593" spans="3:3">
      <c r="C593" t="s">
        <v>319</v>
      </c>
    </row>
    <row r="594" spans="3:3">
      <c r="C594" t="s">
        <v>320</v>
      </c>
    </row>
    <row r="595" spans="3:3">
      <c r="C595">
        <v>10</v>
      </c>
    </row>
    <row r="596" spans="3:3">
      <c r="C596" t="s">
        <v>829</v>
      </c>
    </row>
    <row r="597" spans="3:3">
      <c r="C597" t="s">
        <v>921</v>
      </c>
    </row>
    <row r="598" spans="3:3">
      <c r="C598" t="s">
        <v>922</v>
      </c>
    </row>
    <row r="599" spans="3:3">
      <c r="C599" t="s">
        <v>923</v>
      </c>
    </row>
    <row r="600" spans="3:3">
      <c r="C600" t="s">
        <v>164</v>
      </c>
    </row>
    <row r="601" spans="3:3">
      <c r="C601" t="s">
        <v>924</v>
      </c>
    </row>
    <row r="602" spans="3:3">
      <c r="C602" t="s">
        <v>925</v>
      </c>
    </row>
    <row r="603" spans="3:3">
      <c r="C603" t="s">
        <v>78</v>
      </c>
    </row>
    <row r="604" spans="3:3">
      <c r="C604" t="s">
        <v>10</v>
      </c>
    </row>
    <row r="605" spans="3:3">
      <c r="C605" t="s">
        <v>926</v>
      </c>
    </row>
    <row r="606" spans="3:3">
      <c r="C606">
        <v>1</v>
      </c>
    </row>
    <row r="607" spans="3:3">
      <c r="C607" t="s">
        <v>927</v>
      </c>
    </row>
    <row r="608" spans="3:3">
      <c r="C608" t="s">
        <v>928</v>
      </c>
    </row>
    <row r="609" spans="3:3">
      <c r="C609" t="s">
        <v>929</v>
      </c>
    </row>
    <row r="610" spans="3:3">
      <c r="C610" t="s">
        <v>930</v>
      </c>
    </row>
    <row r="611" spans="3:3">
      <c r="C611">
        <v>2</v>
      </c>
    </row>
    <row r="612" spans="3:3">
      <c r="C612" t="s">
        <v>931</v>
      </c>
    </row>
    <row r="613" spans="3:3">
      <c r="C613" t="s">
        <v>932</v>
      </c>
    </row>
    <row r="614" spans="3:3">
      <c r="C614" t="s">
        <v>933</v>
      </c>
    </row>
    <row r="615" spans="3:3">
      <c r="C615" t="s">
        <v>166</v>
      </c>
    </row>
    <row r="616" spans="3:3">
      <c r="C616">
        <v>3</v>
      </c>
    </row>
    <row r="617" spans="3:3">
      <c r="C617" t="s">
        <v>934</v>
      </c>
    </row>
    <row r="618" spans="3:3">
      <c r="C618" t="s">
        <v>928</v>
      </c>
    </row>
    <row r="619" spans="3:3">
      <c r="C619" t="s">
        <v>935</v>
      </c>
    </row>
    <row r="620" spans="3:3">
      <c r="C620" t="s">
        <v>167</v>
      </c>
    </row>
    <row r="621" spans="3:3">
      <c r="C621">
        <v>4</v>
      </c>
    </row>
    <row r="622" spans="3:3">
      <c r="C622" t="s">
        <v>936</v>
      </c>
    </row>
    <row r="623" spans="3:3">
      <c r="C623" t="s">
        <v>937</v>
      </c>
    </row>
    <row r="624" spans="3:3">
      <c r="C624" t="s">
        <v>938</v>
      </c>
    </row>
    <row r="625" spans="3:3">
      <c r="C625" t="s">
        <v>168</v>
      </c>
    </row>
    <row r="626" spans="3:3">
      <c r="C626">
        <v>5</v>
      </c>
    </row>
    <row r="627" spans="3:3">
      <c r="C627" t="s">
        <v>939</v>
      </c>
    </row>
    <row r="628" spans="3:3">
      <c r="C628" t="s">
        <v>940</v>
      </c>
    </row>
    <row r="629" spans="3:3">
      <c r="C629" t="s">
        <v>941</v>
      </c>
    </row>
    <row r="630" spans="3:3">
      <c r="C630" t="s">
        <v>210</v>
      </c>
    </row>
    <row r="631" spans="3:3">
      <c r="C631">
        <v>6</v>
      </c>
    </row>
    <row r="632" spans="3:3">
      <c r="C632" t="s">
        <v>942</v>
      </c>
    </row>
    <row r="633" spans="3:3">
      <c r="C633" t="s">
        <v>928</v>
      </c>
    </row>
    <row r="634" spans="3:3">
      <c r="C634" t="s">
        <v>1812</v>
      </c>
    </row>
    <row r="635" spans="3:3">
      <c r="C635" t="s">
        <v>210</v>
      </c>
    </row>
    <row r="636" spans="3:3">
      <c r="C636">
        <v>7</v>
      </c>
    </row>
    <row r="637" spans="3:3">
      <c r="C637" t="s">
        <v>943</v>
      </c>
    </row>
    <row r="638" spans="3:3">
      <c r="C638" t="s">
        <v>928</v>
      </c>
    </row>
    <row r="639" spans="3:3">
      <c r="C639" t="s">
        <v>944</v>
      </c>
    </row>
    <row r="640" spans="3:3">
      <c r="C640" t="s">
        <v>945</v>
      </c>
    </row>
    <row r="641" spans="3:3">
      <c r="C641">
        <v>8</v>
      </c>
    </row>
    <row r="642" spans="3:3">
      <c r="C642" t="s">
        <v>946</v>
      </c>
    </row>
    <row r="643" spans="3:3">
      <c r="C643" t="s">
        <v>928</v>
      </c>
    </row>
    <row r="644" spans="3:3">
      <c r="C644" t="s">
        <v>947</v>
      </c>
    </row>
    <row r="645" spans="3:3">
      <c r="C645" t="s">
        <v>210</v>
      </c>
    </row>
    <row r="646" spans="3:3">
      <c r="C646">
        <v>9</v>
      </c>
    </row>
    <row r="647" spans="3:3">
      <c r="C647" t="s">
        <v>948</v>
      </c>
    </row>
    <row r="648" spans="3:3">
      <c r="C648" t="s">
        <v>928</v>
      </c>
    </row>
    <row r="649" spans="3:3">
      <c r="C649" t="s">
        <v>949</v>
      </c>
    </row>
    <row r="650" spans="3:3">
      <c r="C650" t="s">
        <v>210</v>
      </c>
    </row>
    <row r="651" spans="3:3">
      <c r="C651">
        <v>10</v>
      </c>
    </row>
    <row r="652" spans="3:3">
      <c r="C652" t="s">
        <v>950</v>
      </c>
    </row>
    <row r="653" spans="3:3">
      <c r="C653" t="s">
        <v>928</v>
      </c>
    </row>
    <row r="654" spans="3:3">
      <c r="C654" t="s">
        <v>951</v>
      </c>
    </row>
    <row r="655" spans="3:3">
      <c r="C655" t="s">
        <v>210</v>
      </c>
    </row>
    <row r="656" spans="3:3">
      <c r="C656">
        <v>11</v>
      </c>
    </row>
    <row r="657" spans="3:3">
      <c r="C657" t="s">
        <v>952</v>
      </c>
    </row>
    <row r="658" spans="3:3">
      <c r="C658" t="s">
        <v>940</v>
      </c>
    </row>
    <row r="659" spans="3:3">
      <c r="C659" t="s">
        <v>953</v>
      </c>
    </row>
    <row r="660" spans="3:3">
      <c r="C660" t="s">
        <v>210</v>
      </c>
    </row>
    <row r="661" spans="3:3">
      <c r="C661">
        <v>12</v>
      </c>
    </row>
    <row r="662" spans="3:3">
      <c r="C662" t="s">
        <v>954</v>
      </c>
    </row>
    <row r="663" spans="3:3">
      <c r="C663" t="s">
        <v>928</v>
      </c>
    </row>
    <row r="664" spans="3:3">
      <c r="C664" t="s">
        <v>955</v>
      </c>
    </row>
    <row r="665" spans="3:3">
      <c r="C665" t="s">
        <v>210</v>
      </c>
    </row>
    <row r="666" spans="3:3">
      <c r="C666" t="s">
        <v>956</v>
      </c>
    </row>
    <row r="667" spans="3:3">
      <c r="C667">
        <v>13</v>
      </c>
    </row>
    <row r="668" spans="3:3">
      <c r="C668" t="s">
        <v>957</v>
      </c>
    </row>
    <row r="669" spans="3:3">
      <c r="C669" t="s">
        <v>958</v>
      </c>
    </row>
    <row r="670" spans="3:3">
      <c r="C670" t="s">
        <v>959</v>
      </c>
    </row>
    <row r="671" spans="3:3">
      <c r="C671" t="s">
        <v>210</v>
      </c>
    </row>
    <row r="672" spans="3:3">
      <c r="C672">
        <v>14</v>
      </c>
    </row>
    <row r="673" spans="3:3">
      <c r="C673" t="s">
        <v>960</v>
      </c>
    </row>
    <row r="674" spans="3:3">
      <c r="C674" t="s">
        <v>958</v>
      </c>
    </row>
    <row r="675" spans="3:3">
      <c r="C675" t="s">
        <v>961</v>
      </c>
    </row>
    <row r="676" spans="3:3">
      <c r="C676" t="s">
        <v>210</v>
      </c>
    </row>
    <row r="677" spans="3:3">
      <c r="C677">
        <v>15</v>
      </c>
    </row>
    <row r="678" spans="3:3">
      <c r="C678" t="s">
        <v>962</v>
      </c>
    </row>
    <row r="679" spans="3:3">
      <c r="C679" t="s">
        <v>932</v>
      </c>
    </row>
    <row r="680" spans="3:3">
      <c r="C680" t="s">
        <v>963</v>
      </c>
    </row>
    <row r="681" spans="3:3">
      <c r="C681" t="s">
        <v>210</v>
      </c>
    </row>
    <row r="682" spans="3:3">
      <c r="C682">
        <v>16</v>
      </c>
    </row>
    <row r="683" spans="3:3">
      <c r="C683" t="s">
        <v>964</v>
      </c>
    </row>
    <row r="684" spans="3:3">
      <c r="C684" t="s">
        <v>928</v>
      </c>
    </row>
    <row r="685" spans="3:3">
      <c r="C685" t="s">
        <v>965</v>
      </c>
    </row>
    <row r="686" spans="3:3">
      <c r="C686" t="s">
        <v>210</v>
      </c>
    </row>
    <row r="687" spans="3:3">
      <c r="C687">
        <v>17</v>
      </c>
    </row>
    <row r="688" spans="3:3">
      <c r="C688" t="s">
        <v>966</v>
      </c>
    </row>
    <row r="689" spans="3:3">
      <c r="C689" t="s">
        <v>928</v>
      </c>
    </row>
    <row r="690" spans="3:3">
      <c r="C690" t="s">
        <v>967</v>
      </c>
    </row>
    <row r="691" spans="3:3">
      <c r="C691" t="s">
        <v>210</v>
      </c>
    </row>
    <row r="692" spans="3:3">
      <c r="C692" t="s">
        <v>813</v>
      </c>
    </row>
    <row r="693" spans="3:3">
      <c r="C693" t="s">
        <v>814</v>
      </c>
    </row>
    <row r="694" spans="3:3">
      <c r="C694" t="s">
        <v>319</v>
      </c>
    </row>
    <row r="695" spans="3:3">
      <c r="C695" t="s">
        <v>320</v>
      </c>
    </row>
    <row r="696" spans="3:3">
      <c r="C696">
        <v>11</v>
      </c>
    </row>
    <row r="697" spans="3:3">
      <c r="C697" t="s">
        <v>829</v>
      </c>
    </row>
    <row r="698" spans="3:3">
      <c r="C698" t="s">
        <v>922</v>
      </c>
    </row>
    <row r="699" spans="3:3">
      <c r="C699" t="s">
        <v>923</v>
      </c>
    </row>
    <row r="700" spans="3:3">
      <c r="C700" t="s">
        <v>164</v>
      </c>
    </row>
    <row r="701" spans="3:3">
      <c r="C701" t="s">
        <v>924</v>
      </c>
    </row>
    <row r="702" spans="3:3">
      <c r="C702" t="s">
        <v>925</v>
      </c>
    </row>
    <row r="703" spans="3:3">
      <c r="C703" t="s">
        <v>78</v>
      </c>
    </row>
    <row r="704" spans="3:3">
      <c r="C704" t="s">
        <v>10</v>
      </c>
    </row>
    <row r="705" spans="3:3">
      <c r="C705">
        <v>18</v>
      </c>
    </row>
    <row r="706" spans="3:3">
      <c r="C706" t="s">
        <v>968</v>
      </c>
    </row>
    <row r="707" spans="3:3">
      <c r="C707" t="s">
        <v>928</v>
      </c>
    </row>
    <row r="708" spans="3:3">
      <c r="C708" t="s">
        <v>969</v>
      </c>
    </row>
    <row r="709" spans="3:3">
      <c r="C709" t="s">
        <v>210</v>
      </c>
    </row>
    <row r="710" spans="3:3">
      <c r="C710" t="s">
        <v>970</v>
      </c>
    </row>
    <row r="711" spans="3:3">
      <c r="C711">
        <v>19</v>
      </c>
    </row>
    <row r="712" spans="3:3">
      <c r="C712" t="s">
        <v>971</v>
      </c>
    </row>
    <row r="713" spans="3:3">
      <c r="C713" t="s">
        <v>972</v>
      </c>
    </row>
    <row r="714" spans="3:3">
      <c r="C714" t="s">
        <v>973</v>
      </c>
    </row>
    <row r="715" spans="3:3">
      <c r="C715" t="s">
        <v>210</v>
      </c>
    </row>
    <row r="716" spans="3:3">
      <c r="C716" t="s">
        <v>974</v>
      </c>
    </row>
    <row r="717" spans="3:3">
      <c r="C717" t="s">
        <v>813</v>
      </c>
    </row>
    <row r="718" spans="3:3">
      <c r="C718" t="s">
        <v>814</v>
      </c>
    </row>
    <row r="719" spans="3:3">
      <c r="C719" t="s">
        <v>319</v>
      </c>
    </row>
    <row r="720" spans="3:3">
      <c r="C720" t="s">
        <v>320</v>
      </c>
    </row>
    <row r="721" spans="3:3">
      <c r="C721">
        <v>12</v>
      </c>
    </row>
    <row r="722" spans="3:3">
      <c r="C722" t="s">
        <v>829</v>
      </c>
    </row>
    <row r="723" spans="3:3">
      <c r="C723" t="s">
        <v>380</v>
      </c>
    </row>
    <row r="724" spans="3:3">
      <c r="C724" t="s">
        <v>381</v>
      </c>
    </row>
    <row r="725" spans="3:3">
      <c r="C725" t="s">
        <v>1813</v>
      </c>
    </row>
    <row r="726" spans="3:3">
      <c r="C726" t="s">
        <v>1814</v>
      </c>
    </row>
    <row r="727" spans="3:3">
      <c r="C727" t="s">
        <v>39</v>
      </c>
    </row>
    <row r="728" spans="3:3">
      <c r="C728" t="s">
        <v>975</v>
      </c>
    </row>
    <row r="729" spans="3:3">
      <c r="C729" t="s">
        <v>976</v>
      </c>
    </row>
    <row r="730" spans="3:3">
      <c r="C730" t="s">
        <v>382</v>
      </c>
    </row>
    <row r="731" spans="3:3">
      <c r="C731" t="s">
        <v>977</v>
      </c>
    </row>
    <row r="732" spans="3:3">
      <c r="C732" t="s">
        <v>1815</v>
      </c>
    </row>
    <row r="733" spans="3:3">
      <c r="C733" t="s">
        <v>1816</v>
      </c>
    </row>
    <row r="734" spans="3:3">
      <c r="C734" t="s">
        <v>1817</v>
      </c>
    </row>
    <row r="735" spans="3:3">
      <c r="C735" t="s">
        <v>1818</v>
      </c>
    </row>
    <row r="736" spans="3:3">
      <c r="C736" t="s">
        <v>1819</v>
      </c>
    </row>
    <row r="737" spans="3:3">
      <c r="C737" t="s">
        <v>1820</v>
      </c>
    </row>
    <row r="738" spans="3:3">
      <c r="C738" t="s">
        <v>813</v>
      </c>
    </row>
    <row r="739" spans="3:3">
      <c r="C739" t="s">
        <v>814</v>
      </c>
    </row>
    <row r="740" spans="3:3">
      <c r="C740" t="s">
        <v>319</v>
      </c>
    </row>
    <row r="741" spans="3:3">
      <c r="C741" t="s">
        <v>320</v>
      </c>
    </row>
    <row r="742" spans="3:3">
      <c r="C742">
        <v>13</v>
      </c>
    </row>
    <row r="743" spans="3:3">
      <c r="C743" t="s">
        <v>829</v>
      </c>
    </row>
    <row r="744" spans="3:3">
      <c r="C744" t="s">
        <v>1821</v>
      </c>
    </row>
    <row r="745" spans="3:3">
      <c r="C745" t="s">
        <v>1822</v>
      </c>
    </row>
    <row r="746" spans="3:3">
      <c r="C746" t="s">
        <v>1823</v>
      </c>
    </row>
    <row r="747" spans="3:3">
      <c r="C747" t="s">
        <v>1824</v>
      </c>
    </row>
    <row r="748" spans="3:3">
      <c r="C748" t="s">
        <v>1825</v>
      </c>
    </row>
    <row r="749" spans="3:3">
      <c r="C749" t="s">
        <v>1826</v>
      </c>
    </row>
    <row r="750" spans="3:3">
      <c r="C750" t="s">
        <v>1827</v>
      </c>
    </row>
    <row r="751" spans="3:3">
      <c r="C751" t="s">
        <v>1828</v>
      </c>
    </row>
    <row r="752" spans="3:3">
      <c r="C752" t="s">
        <v>1829</v>
      </c>
    </row>
    <row r="753" spans="3:3">
      <c r="C753" t="s">
        <v>1830</v>
      </c>
    </row>
    <row r="754" spans="3:3">
      <c r="C754" t="s">
        <v>383</v>
      </c>
    </row>
    <row r="755" spans="3:3">
      <c r="C755" t="s">
        <v>384</v>
      </c>
    </row>
    <row r="756" spans="3:3">
      <c r="C756" t="s">
        <v>1831</v>
      </c>
    </row>
    <row r="757" spans="3:3">
      <c r="C757" t="s">
        <v>1832</v>
      </c>
    </row>
    <row r="758" spans="3:3">
      <c r="C758" t="s">
        <v>813</v>
      </c>
    </row>
    <row r="759" spans="3:3">
      <c r="C759" t="s">
        <v>814</v>
      </c>
    </row>
    <row r="760" spans="3:3">
      <c r="C760" t="s">
        <v>319</v>
      </c>
    </row>
    <row r="761" spans="3:3">
      <c r="C761" t="s">
        <v>320</v>
      </c>
    </row>
    <row r="762" spans="3:3">
      <c r="C762">
        <v>14</v>
      </c>
    </row>
    <row r="763" spans="3:3">
      <c r="C763" t="s">
        <v>829</v>
      </c>
    </row>
    <row r="764" spans="3:3">
      <c r="C764" t="s">
        <v>1833</v>
      </c>
    </row>
    <row r="765" spans="3:3">
      <c r="C765" t="s">
        <v>978</v>
      </c>
    </row>
    <row r="766" spans="3:3">
      <c r="C766" t="s">
        <v>1834</v>
      </c>
    </row>
    <row r="767" spans="3:3">
      <c r="C767" t="s">
        <v>979</v>
      </c>
    </row>
    <row r="768" spans="3:3">
      <c r="C768" t="s">
        <v>1835</v>
      </c>
    </row>
    <row r="769" spans="3:3">
      <c r="C769" t="s">
        <v>701</v>
      </c>
    </row>
    <row r="770" spans="3:3">
      <c r="C770" t="s">
        <v>1836</v>
      </c>
    </row>
    <row r="771" spans="3:3">
      <c r="C771" t="s">
        <v>1837</v>
      </c>
    </row>
    <row r="772" spans="3:3">
      <c r="C772" t="s">
        <v>1838</v>
      </c>
    </row>
    <row r="773" spans="3:3">
      <c r="C773" t="s">
        <v>1839</v>
      </c>
    </row>
    <row r="774" spans="3:3">
      <c r="C774" t="s">
        <v>702</v>
      </c>
    </row>
    <row r="775" spans="3:3">
      <c r="C775" t="s">
        <v>1840</v>
      </c>
    </row>
    <row r="776" spans="3:3">
      <c r="C776" t="s">
        <v>1841</v>
      </c>
    </row>
    <row r="777" spans="3:3">
      <c r="C777" t="s">
        <v>385</v>
      </c>
    </row>
    <row r="778" spans="3:3">
      <c r="C778" t="s">
        <v>1842</v>
      </c>
    </row>
    <row r="779" spans="3:3">
      <c r="C779" t="s">
        <v>980</v>
      </c>
    </row>
    <row r="780" spans="3:3">
      <c r="C780" t="s">
        <v>813</v>
      </c>
    </row>
    <row r="781" spans="3:3">
      <c r="C781" t="s">
        <v>814</v>
      </c>
    </row>
    <row r="782" spans="3:3">
      <c r="C782" t="s">
        <v>319</v>
      </c>
    </row>
    <row r="783" spans="3:3">
      <c r="C783" t="s">
        <v>320</v>
      </c>
    </row>
    <row r="784" spans="3:3">
      <c r="C784">
        <v>15</v>
      </c>
    </row>
    <row r="785" spans="3:3">
      <c r="C785" t="s">
        <v>829</v>
      </c>
    </row>
    <row r="786" spans="3:3">
      <c r="C786" t="s">
        <v>981</v>
      </c>
    </row>
    <row r="787" spans="3:3">
      <c r="C787" t="s">
        <v>982</v>
      </c>
    </row>
    <row r="788" spans="3:3">
      <c r="C788" t="s">
        <v>983</v>
      </c>
    </row>
    <row r="789" spans="3:3">
      <c r="C789" t="s">
        <v>984</v>
      </c>
    </row>
    <row r="790" spans="3:3">
      <c r="C790" t="s">
        <v>985</v>
      </c>
    </row>
    <row r="791" spans="3:3">
      <c r="C791" t="s">
        <v>986</v>
      </c>
    </row>
    <row r="792" spans="3:3">
      <c r="C792" t="s">
        <v>987</v>
      </c>
    </row>
    <row r="793" spans="3:3">
      <c r="C793" t="s">
        <v>1843</v>
      </c>
    </row>
    <row r="794" spans="3:3">
      <c r="C794" t="s">
        <v>1844</v>
      </c>
    </row>
    <row r="795" spans="3:3">
      <c r="C795" t="s">
        <v>1845</v>
      </c>
    </row>
    <row r="796" spans="3:3">
      <c r="C796" t="s">
        <v>1846</v>
      </c>
    </row>
    <row r="797" spans="3:3">
      <c r="C797" t="s">
        <v>1847</v>
      </c>
    </row>
    <row r="798" spans="3:3">
      <c r="C798" t="s">
        <v>1848</v>
      </c>
    </row>
    <row r="799" spans="3:3">
      <c r="C799" t="s">
        <v>1849</v>
      </c>
    </row>
    <row r="800" spans="3:3">
      <c r="C800" t="s">
        <v>1850</v>
      </c>
    </row>
    <row r="801" spans="3:3">
      <c r="C801" t="s">
        <v>1851</v>
      </c>
    </row>
    <row r="802" spans="3:3">
      <c r="C802" t="s">
        <v>40</v>
      </c>
    </row>
    <row r="803" spans="3:3">
      <c r="C803" t="s">
        <v>386</v>
      </c>
    </row>
    <row r="804" spans="3:3">
      <c r="C804" t="s">
        <v>387</v>
      </c>
    </row>
    <row r="805" spans="3:3">
      <c r="C805" t="s">
        <v>41</v>
      </c>
    </row>
    <row r="806" spans="3:3">
      <c r="C806" t="s">
        <v>388</v>
      </c>
    </row>
    <row r="807" spans="3:3">
      <c r="C807" t="s">
        <v>1852</v>
      </c>
    </row>
    <row r="808" spans="3:3">
      <c r="C808" t="s">
        <v>813</v>
      </c>
    </row>
    <row r="809" spans="3:3">
      <c r="C809" t="s">
        <v>814</v>
      </c>
    </row>
    <row r="810" spans="3:3">
      <c r="C810" t="s">
        <v>319</v>
      </c>
    </row>
    <row r="811" spans="3:3">
      <c r="C811" t="s">
        <v>320</v>
      </c>
    </row>
    <row r="812" spans="3:3">
      <c r="C812">
        <v>16</v>
      </c>
    </row>
    <row r="813" spans="3:3">
      <c r="C813" t="s">
        <v>829</v>
      </c>
    </row>
    <row r="814" spans="3:3">
      <c r="C814" t="s">
        <v>1853</v>
      </c>
    </row>
    <row r="815" spans="3:3">
      <c r="C815" t="s">
        <v>988</v>
      </c>
    </row>
    <row r="816" spans="3:3">
      <c r="C816" t="s">
        <v>40</v>
      </c>
    </row>
    <row r="817" spans="3:3">
      <c r="C817" t="s">
        <v>386</v>
      </c>
    </row>
    <row r="818" spans="3:3">
      <c r="C818" t="s">
        <v>1854</v>
      </c>
    </row>
    <row r="819" spans="3:3">
      <c r="C819" t="s">
        <v>42</v>
      </c>
    </row>
    <row r="820" spans="3:3">
      <c r="C820" t="s">
        <v>1855</v>
      </c>
    </row>
    <row r="821" spans="3:3">
      <c r="C821" t="s">
        <v>1856</v>
      </c>
    </row>
    <row r="822" spans="3:3">
      <c r="C822" t="s">
        <v>1857</v>
      </c>
    </row>
    <row r="823" spans="3:3">
      <c r="C823" t="s">
        <v>1856</v>
      </c>
    </row>
    <row r="824" spans="3:3">
      <c r="C824" t="s">
        <v>1858</v>
      </c>
    </row>
    <row r="825" spans="3:3">
      <c r="C825" t="s">
        <v>1856</v>
      </c>
    </row>
    <row r="826" spans="3:3">
      <c r="C826" t="s">
        <v>43</v>
      </c>
    </row>
    <row r="827" spans="3:3">
      <c r="C827" t="s">
        <v>44</v>
      </c>
    </row>
    <row r="828" spans="3:3">
      <c r="C828" t="s">
        <v>1859</v>
      </c>
    </row>
    <row r="829" spans="3:3">
      <c r="C829" t="s">
        <v>44</v>
      </c>
    </row>
    <row r="830" spans="3:3">
      <c r="C830" t="s">
        <v>389</v>
      </c>
    </row>
    <row r="831" spans="3:3">
      <c r="C831" t="s">
        <v>1860</v>
      </c>
    </row>
    <row r="832" spans="3:3">
      <c r="C832" t="s">
        <v>1861</v>
      </c>
    </row>
    <row r="833" spans="3:3">
      <c r="C833" t="s">
        <v>1862</v>
      </c>
    </row>
    <row r="834" spans="3:3">
      <c r="C834" t="s">
        <v>1863</v>
      </c>
    </row>
    <row r="835" spans="3:3">
      <c r="C835" t="s">
        <v>1864</v>
      </c>
    </row>
    <row r="836" spans="3:3">
      <c r="C836" t="s">
        <v>1865</v>
      </c>
    </row>
    <row r="837" spans="3:3">
      <c r="C837" t="s">
        <v>813</v>
      </c>
    </row>
    <row r="838" spans="3:3">
      <c r="C838" t="s">
        <v>814</v>
      </c>
    </row>
    <row r="839" spans="3:3">
      <c r="C839" t="s">
        <v>319</v>
      </c>
    </row>
    <row r="840" spans="3:3">
      <c r="C840" t="s">
        <v>320</v>
      </c>
    </row>
    <row r="841" spans="3:3">
      <c r="C841">
        <v>17</v>
      </c>
    </row>
    <row r="842" spans="3:3">
      <c r="C842" t="s">
        <v>829</v>
      </c>
    </row>
    <row r="843" spans="3:3">
      <c r="C843" t="s">
        <v>1866</v>
      </c>
    </row>
    <row r="844" spans="3:3">
      <c r="C844" t="s">
        <v>1867</v>
      </c>
    </row>
    <row r="845" spans="3:3">
      <c r="C845" t="s">
        <v>45</v>
      </c>
    </row>
    <row r="846" spans="3:3">
      <c r="C846" t="s">
        <v>46</v>
      </c>
    </row>
    <row r="847" spans="3:3">
      <c r="C847" t="s">
        <v>1868</v>
      </c>
    </row>
    <row r="848" spans="3:3">
      <c r="C848" t="s">
        <v>390</v>
      </c>
    </row>
    <row r="849" spans="3:3">
      <c r="C849" t="s">
        <v>834</v>
      </c>
    </row>
    <row r="850" spans="3:3">
      <c r="C850" t="s">
        <v>835</v>
      </c>
    </row>
    <row r="851" spans="3:3">
      <c r="C851" t="s">
        <v>881</v>
      </c>
    </row>
    <row r="852" spans="3:3">
      <c r="C852" t="s">
        <v>835</v>
      </c>
    </row>
    <row r="853" spans="3:3">
      <c r="C853" t="s">
        <v>836</v>
      </c>
    </row>
    <row r="854" spans="3:3">
      <c r="C854" t="s">
        <v>837</v>
      </c>
    </row>
    <row r="855" spans="3:3">
      <c r="C855" t="s">
        <v>881</v>
      </c>
    </row>
    <row r="856" spans="3:3">
      <c r="C856" t="s">
        <v>837</v>
      </c>
    </row>
    <row r="857" spans="3:3">
      <c r="C857" t="s">
        <v>838</v>
      </c>
    </row>
    <row r="858" spans="3:3">
      <c r="C858" t="s">
        <v>839</v>
      </c>
    </row>
    <row r="859" spans="3:3">
      <c r="C859" t="s">
        <v>881</v>
      </c>
    </row>
    <row r="860" spans="3:3">
      <c r="C860" t="s">
        <v>839</v>
      </c>
    </row>
    <row r="861" spans="3:3">
      <c r="C861" t="s">
        <v>840</v>
      </c>
    </row>
    <row r="862" spans="3:3">
      <c r="C862" t="s">
        <v>841</v>
      </c>
    </row>
    <row r="863" spans="3:3">
      <c r="C863" t="s">
        <v>881</v>
      </c>
    </row>
    <row r="864" spans="3:3">
      <c r="C864" t="s">
        <v>841</v>
      </c>
    </row>
    <row r="865" spans="3:3">
      <c r="C865" t="s">
        <v>842</v>
      </c>
    </row>
    <row r="866" spans="3:3">
      <c r="C866" t="s">
        <v>843</v>
      </c>
    </row>
    <row r="867" spans="3:3">
      <c r="C867" t="s">
        <v>881</v>
      </c>
    </row>
    <row r="868" spans="3:3">
      <c r="C868" t="s">
        <v>843</v>
      </c>
    </row>
    <row r="869" spans="3:3">
      <c r="C869" t="s">
        <v>1673</v>
      </c>
    </row>
    <row r="870" spans="3:3">
      <c r="C870">
        <v>7.4</v>
      </c>
    </row>
    <row r="871" spans="3:3">
      <c r="C871" t="s">
        <v>2</v>
      </c>
    </row>
    <row r="872" spans="3:3">
      <c r="C872" t="s">
        <v>1869</v>
      </c>
    </row>
    <row r="873" spans="3:3">
      <c r="C873" t="s">
        <v>1675</v>
      </c>
    </row>
    <row r="874" spans="3:3">
      <c r="C874" t="s">
        <v>844</v>
      </c>
    </row>
    <row r="875" spans="3:3">
      <c r="C875">
        <v>7.4</v>
      </c>
    </row>
    <row r="876" spans="3:3">
      <c r="C876" t="s">
        <v>845</v>
      </c>
    </row>
    <row r="877" spans="3:3">
      <c r="C877" t="s">
        <v>1870</v>
      </c>
    </row>
    <row r="878" spans="3:3">
      <c r="C878" t="s">
        <v>1672</v>
      </c>
    </row>
    <row r="879" spans="3:3">
      <c r="C879" t="s">
        <v>846</v>
      </c>
    </row>
    <row r="880" spans="3:3">
      <c r="C880">
        <v>7.4</v>
      </c>
    </row>
    <row r="881" spans="3:3">
      <c r="C881" t="s">
        <v>847</v>
      </c>
    </row>
    <row r="882" spans="3:3">
      <c r="C882" t="s">
        <v>1871</v>
      </c>
    </row>
    <row r="883" spans="3:3">
      <c r="C883" t="s">
        <v>1677</v>
      </c>
    </row>
    <row r="884" spans="3:3">
      <c r="C884" t="s">
        <v>1872</v>
      </c>
    </row>
    <row r="885" spans="3:3">
      <c r="C885" t="s">
        <v>1873</v>
      </c>
    </row>
    <row r="886" spans="3:3">
      <c r="C886" t="s">
        <v>881</v>
      </c>
    </row>
    <row r="887" spans="3:3">
      <c r="C887" t="s">
        <v>1056</v>
      </c>
    </row>
    <row r="888" spans="3:3">
      <c r="C888" t="s">
        <v>849</v>
      </c>
    </row>
    <row r="889" spans="3:3">
      <c r="C889" t="s">
        <v>850</v>
      </c>
    </row>
    <row r="890" spans="3:3">
      <c r="C890" t="s">
        <v>881</v>
      </c>
    </row>
    <row r="891" spans="3:3">
      <c r="C891" t="s">
        <v>850</v>
      </c>
    </row>
    <row r="892" spans="3:3">
      <c r="C892" t="s">
        <v>855</v>
      </c>
    </row>
    <row r="893" spans="3:3">
      <c r="C893" t="s">
        <v>856</v>
      </c>
    </row>
    <row r="894" spans="3:3">
      <c r="C894" t="s">
        <v>881</v>
      </c>
    </row>
    <row r="895" spans="3:3">
      <c r="C895" t="s">
        <v>856</v>
      </c>
    </row>
    <row r="896" spans="3:3">
      <c r="C896" t="s">
        <v>859</v>
      </c>
    </row>
    <row r="897" spans="3:3">
      <c r="C897" t="s">
        <v>860</v>
      </c>
    </row>
    <row r="898" spans="3:3">
      <c r="C898" t="s">
        <v>881</v>
      </c>
    </row>
    <row r="899" spans="3:3">
      <c r="C899" t="s">
        <v>860</v>
      </c>
    </row>
    <row r="900" spans="3:3">
      <c r="C900" t="s">
        <v>813</v>
      </c>
    </row>
    <row r="901" spans="3:3">
      <c r="C901" t="s">
        <v>814</v>
      </c>
    </row>
    <row r="902" spans="3:3">
      <c r="C902" t="s">
        <v>319</v>
      </c>
    </row>
    <row r="903" spans="3:3">
      <c r="C903" t="s">
        <v>320</v>
      </c>
    </row>
    <row r="904" spans="3:3">
      <c r="C904">
        <v>18</v>
      </c>
    </row>
    <row r="905" spans="3:3">
      <c r="C905" t="s">
        <v>829</v>
      </c>
    </row>
    <row r="906" spans="3:3">
      <c r="C906" t="s">
        <v>991</v>
      </c>
    </row>
    <row r="907" spans="3:3">
      <c r="C907" t="s">
        <v>992</v>
      </c>
    </row>
    <row r="908" spans="3:3">
      <c r="C908" t="s">
        <v>993</v>
      </c>
    </row>
    <row r="909" spans="3:3">
      <c r="C909" t="s">
        <v>994</v>
      </c>
    </row>
    <row r="910" spans="3:3">
      <c r="C910" t="s">
        <v>995</v>
      </c>
    </row>
    <row r="911" spans="3:3">
      <c r="C911" t="s">
        <v>996</v>
      </c>
    </row>
    <row r="912" spans="3:3">
      <c r="C912" t="s">
        <v>997</v>
      </c>
    </row>
    <row r="913" spans="3:3">
      <c r="C913" t="s">
        <v>998</v>
      </c>
    </row>
    <row r="914" spans="3:3">
      <c r="C914" t="s">
        <v>999</v>
      </c>
    </row>
    <row r="915" spans="3:3">
      <c r="C915" t="s">
        <v>1874</v>
      </c>
    </row>
    <row r="916" spans="3:3">
      <c r="C916" t="s">
        <v>1875</v>
      </c>
    </row>
    <row r="917" spans="3:3">
      <c r="C917" t="s">
        <v>1000</v>
      </c>
    </row>
    <row r="918" spans="3:3">
      <c r="C918" t="s">
        <v>1876</v>
      </c>
    </row>
    <row r="919" spans="3:3">
      <c r="C919" t="s">
        <v>1003</v>
      </c>
    </row>
    <row r="920" spans="3:3">
      <c r="C920" t="s">
        <v>1004</v>
      </c>
    </row>
    <row r="921" spans="3:3">
      <c r="C921" t="s">
        <v>813</v>
      </c>
    </row>
    <row r="922" spans="3:3">
      <c r="C922" t="s">
        <v>814</v>
      </c>
    </row>
    <row r="923" spans="3:3">
      <c r="C923" t="s">
        <v>319</v>
      </c>
    </row>
    <row r="924" spans="3:3">
      <c r="C924" t="s">
        <v>320</v>
      </c>
    </row>
    <row r="925" spans="3:3">
      <c r="C925">
        <v>19</v>
      </c>
    </row>
    <row r="926" spans="3:3">
      <c r="C926" t="s">
        <v>829</v>
      </c>
    </row>
    <row r="927" spans="3:3">
      <c r="C927" t="s">
        <v>1877</v>
      </c>
    </row>
    <row r="928" spans="3:3">
      <c r="C928" t="s">
        <v>1003</v>
      </c>
    </row>
    <row r="929" spans="3:3">
      <c r="C929" t="s">
        <v>1004</v>
      </c>
    </row>
    <row r="930" spans="3:3">
      <c r="C930" t="s">
        <v>1878</v>
      </c>
    </row>
    <row r="931" spans="3:3">
      <c r="C931" t="s">
        <v>393</v>
      </c>
    </row>
    <row r="932" spans="3:3">
      <c r="C932" t="s">
        <v>47</v>
      </c>
    </row>
    <row r="933" spans="3:3">
      <c r="C933" t="s">
        <v>48</v>
      </c>
    </row>
    <row r="934" spans="3:3">
      <c r="C934" t="s">
        <v>1879</v>
      </c>
    </row>
    <row r="935" spans="3:3">
      <c r="C935" t="s">
        <v>1680</v>
      </c>
    </row>
    <row r="936" spans="3:3">
      <c r="C936" t="s">
        <v>850</v>
      </c>
    </row>
    <row r="937" spans="3:3">
      <c r="C937" t="s">
        <v>3</v>
      </c>
    </row>
    <row r="938" spans="3:3">
      <c r="C938" t="s">
        <v>1125</v>
      </c>
    </row>
    <row r="939" spans="3:3">
      <c r="C939" t="s">
        <v>851</v>
      </c>
    </row>
    <row r="940" spans="3:3">
      <c r="C940" t="s">
        <v>4</v>
      </c>
    </row>
    <row r="941" spans="3:3">
      <c r="C941" t="s">
        <v>1681</v>
      </c>
    </row>
    <row r="942" spans="3:3">
      <c r="C942" t="s">
        <v>853</v>
      </c>
    </row>
    <row r="943" spans="3:3">
      <c r="C943" t="s">
        <v>1880</v>
      </c>
    </row>
    <row r="944" spans="3:3">
      <c r="C944" t="s">
        <v>70</v>
      </c>
    </row>
    <row r="945" spans="3:3">
      <c r="C945" t="s">
        <v>49</v>
      </c>
    </row>
    <row r="946" spans="3:3">
      <c r="C946" t="s">
        <v>1881</v>
      </c>
    </row>
    <row r="947" spans="3:3">
      <c r="C947" t="s">
        <v>856</v>
      </c>
    </row>
    <row r="948" spans="3:3">
      <c r="C948" t="s">
        <v>1009</v>
      </c>
    </row>
    <row r="949" spans="3:3">
      <c r="C949" t="s">
        <v>1010</v>
      </c>
    </row>
    <row r="950" spans="3:3">
      <c r="C950" t="s">
        <v>1011</v>
      </c>
    </row>
    <row r="951" spans="3:3">
      <c r="C951" t="s">
        <v>1012</v>
      </c>
    </row>
    <row r="952" spans="3:3">
      <c r="C952" t="s">
        <v>78</v>
      </c>
    </row>
    <row r="953" spans="3:3">
      <c r="C953" t="s">
        <v>10</v>
      </c>
    </row>
    <row r="954" spans="3:3">
      <c r="C954" t="s">
        <v>1009</v>
      </c>
    </row>
    <row r="955" spans="3:3">
      <c r="C955" t="s">
        <v>1882</v>
      </c>
    </row>
    <row r="956" spans="3:3">
      <c r="C956" t="s">
        <v>1883</v>
      </c>
    </row>
    <row r="957" spans="3:3">
      <c r="C957" t="s">
        <v>879</v>
      </c>
    </row>
    <row r="958" spans="3:3">
      <c r="C958" t="s">
        <v>156</v>
      </c>
    </row>
    <row r="959" spans="3:3">
      <c r="C959" t="s">
        <v>71</v>
      </c>
    </row>
    <row r="960" spans="3:3">
      <c r="C960" t="s">
        <v>331</v>
      </c>
    </row>
    <row r="961" spans="3:3">
      <c r="C961" t="s">
        <v>1884</v>
      </c>
    </row>
    <row r="962" spans="3:3">
      <c r="C962" t="s">
        <v>1073</v>
      </c>
    </row>
    <row r="963" spans="3:3">
      <c r="C963" t="s">
        <v>880</v>
      </c>
    </row>
    <row r="964" spans="3:3">
      <c r="C964" t="s">
        <v>1885</v>
      </c>
    </row>
    <row r="965" spans="3:3">
      <c r="C965" t="s">
        <v>1715</v>
      </c>
    </row>
    <row r="966" spans="3:3">
      <c r="C966" t="s">
        <v>1886</v>
      </c>
    </row>
    <row r="967" spans="3:3">
      <c r="C967" t="s">
        <v>698</v>
      </c>
    </row>
    <row r="968" spans="3:3">
      <c r="C968" t="s">
        <v>1717</v>
      </c>
    </row>
    <row r="969" spans="3:3">
      <c r="C969" t="s">
        <v>813</v>
      </c>
    </row>
    <row r="970" spans="3:3">
      <c r="C970" t="s">
        <v>814</v>
      </c>
    </row>
    <row r="971" spans="3:3">
      <c r="C971" t="s">
        <v>319</v>
      </c>
    </row>
    <row r="972" spans="3:3">
      <c r="C972" t="s">
        <v>320</v>
      </c>
    </row>
    <row r="973" spans="3:3">
      <c r="C973">
        <v>20</v>
      </c>
    </row>
    <row r="974" spans="3:3">
      <c r="C974" t="s">
        <v>829</v>
      </c>
    </row>
    <row r="975" spans="3:3">
      <c r="C975" t="s">
        <v>78</v>
      </c>
    </row>
    <row r="976" spans="3:3">
      <c r="C976" t="s">
        <v>10</v>
      </c>
    </row>
    <row r="977" spans="3:3">
      <c r="C977" t="s">
        <v>335</v>
      </c>
    </row>
    <row r="978" spans="3:3">
      <c r="C978" t="s">
        <v>180</v>
      </c>
    </row>
    <row r="979" spans="3:3">
      <c r="C979" t="s">
        <v>147</v>
      </c>
    </row>
    <row r="980" spans="3:3">
      <c r="C980" t="s">
        <v>14</v>
      </c>
    </row>
    <row r="981" spans="3:3">
      <c r="C981" t="s">
        <v>55</v>
      </c>
    </row>
    <row r="982" spans="3:3">
      <c r="C982" t="s">
        <v>15</v>
      </c>
    </row>
    <row r="983" spans="3:3">
      <c r="C983" t="s">
        <v>697</v>
      </c>
    </row>
    <row r="984" spans="3:3">
      <c r="C984" t="s">
        <v>49</v>
      </c>
    </row>
    <row r="985" spans="3:3">
      <c r="C985" t="s">
        <v>2</v>
      </c>
    </row>
    <row r="986" spans="3:3">
      <c r="C986" t="s">
        <v>1887</v>
      </c>
    </row>
    <row r="987" spans="3:3">
      <c r="C987" t="s">
        <v>1732</v>
      </c>
    </row>
    <row r="988" spans="3:3">
      <c r="C988" t="s">
        <v>394</v>
      </c>
    </row>
    <row r="989" spans="3:3">
      <c r="C989" t="s">
        <v>395</v>
      </c>
    </row>
    <row r="990" spans="3:3">
      <c r="C990" t="s">
        <v>1888</v>
      </c>
    </row>
    <row r="991" spans="3:3">
      <c r="C991" t="s">
        <v>47</v>
      </c>
    </row>
    <row r="992" spans="3:3">
      <c r="C992" t="s">
        <v>48</v>
      </c>
    </row>
    <row r="993" spans="3:3">
      <c r="C993" t="s">
        <v>396</v>
      </c>
    </row>
    <row r="994" spans="3:3">
      <c r="C994" t="s">
        <v>1001</v>
      </c>
    </row>
    <row r="995" spans="3:3">
      <c r="C995" t="s">
        <v>1889</v>
      </c>
    </row>
    <row r="996" spans="3:3">
      <c r="C996" t="s">
        <v>1002</v>
      </c>
    </row>
    <row r="997" spans="3:3">
      <c r="C997" t="s">
        <v>1890</v>
      </c>
    </row>
    <row r="998" spans="3:3">
      <c r="C998" t="s">
        <v>1013</v>
      </c>
    </row>
    <row r="999" spans="3:3">
      <c r="C999" t="s">
        <v>1891</v>
      </c>
    </row>
    <row r="1000" spans="3:3">
      <c r="C1000" t="s">
        <v>1014</v>
      </c>
    </row>
    <row r="1001" spans="3:3">
      <c r="C1001" t="s">
        <v>1892</v>
      </c>
    </row>
    <row r="1002" spans="3:3">
      <c r="C1002" t="s">
        <v>397</v>
      </c>
    </row>
    <row r="1003" spans="3:3">
      <c r="C1003" t="s">
        <v>1015</v>
      </c>
    </row>
    <row r="1004" spans="3:3">
      <c r="C1004" t="s">
        <v>1893</v>
      </c>
    </row>
    <row r="1005" spans="3:3">
      <c r="C1005" t="s">
        <v>1001</v>
      </c>
    </row>
    <row r="1006" spans="3:3">
      <c r="C1006" t="s">
        <v>1894</v>
      </c>
    </row>
    <row r="1007" spans="3:3">
      <c r="C1007" t="s">
        <v>1002</v>
      </c>
    </row>
    <row r="1008" spans="3:3">
      <c r="C1008" t="s">
        <v>1895</v>
      </c>
    </row>
    <row r="1009" spans="3:3">
      <c r="C1009" t="s">
        <v>1013</v>
      </c>
    </row>
    <row r="1010" spans="3:3">
      <c r="C1010" t="s">
        <v>1896</v>
      </c>
    </row>
    <row r="1011" spans="3:3">
      <c r="C1011" t="s">
        <v>1017</v>
      </c>
    </row>
    <row r="1012" spans="3:3">
      <c r="C1012" t="s">
        <v>1897</v>
      </c>
    </row>
    <row r="1013" spans="3:3">
      <c r="C1013" t="s">
        <v>1002</v>
      </c>
    </row>
    <row r="1014" spans="3:3">
      <c r="C1014" t="s">
        <v>1897</v>
      </c>
    </row>
    <row r="1015" spans="3:3">
      <c r="C1015" t="s">
        <v>1018</v>
      </c>
    </row>
    <row r="1016" spans="3:3">
      <c r="C1016" t="s">
        <v>1898</v>
      </c>
    </row>
    <row r="1017" spans="3:3">
      <c r="C1017" t="s">
        <v>1002</v>
      </c>
    </row>
    <row r="1018" spans="3:3">
      <c r="C1018" t="s">
        <v>1899</v>
      </c>
    </row>
    <row r="1019" spans="3:3">
      <c r="C1019" t="s">
        <v>1013</v>
      </c>
    </row>
    <row r="1020" spans="3:3">
      <c r="C1020" t="s">
        <v>1900</v>
      </c>
    </row>
    <row r="1021" spans="3:3">
      <c r="C1021" t="s">
        <v>1019</v>
      </c>
    </row>
    <row r="1022" spans="3:3">
      <c r="C1022" t="s">
        <v>1901</v>
      </c>
    </row>
    <row r="1023" spans="3:3">
      <c r="C1023" t="s">
        <v>1001</v>
      </c>
    </row>
    <row r="1024" spans="3:3">
      <c r="C1024" t="s">
        <v>1894</v>
      </c>
    </row>
    <row r="1025" spans="3:3">
      <c r="C1025" t="s">
        <v>1002</v>
      </c>
    </row>
    <row r="1026" spans="3:3">
      <c r="C1026" t="s">
        <v>1902</v>
      </c>
    </row>
    <row r="1027" spans="3:3">
      <c r="C1027" t="s">
        <v>1013</v>
      </c>
    </row>
    <row r="1028" spans="3:3">
      <c r="C1028" t="s">
        <v>1903</v>
      </c>
    </row>
    <row r="1029" spans="3:3">
      <c r="C1029" t="s">
        <v>1904</v>
      </c>
    </row>
    <row r="1030" spans="3:3">
      <c r="C1030" t="s">
        <v>1905</v>
      </c>
    </row>
    <row r="1031" spans="3:3">
      <c r="C1031" t="s">
        <v>398</v>
      </c>
    </row>
    <row r="1032" spans="3:3">
      <c r="C1032" t="s">
        <v>1888</v>
      </c>
    </row>
    <row r="1033" spans="3:3">
      <c r="C1033" t="s">
        <v>47</v>
      </c>
    </row>
    <row r="1034" spans="3:3">
      <c r="C1034" t="s">
        <v>48</v>
      </c>
    </row>
    <row r="1035" spans="3:3">
      <c r="C1035" t="s">
        <v>1906</v>
      </c>
    </row>
    <row r="1036" spans="3:3">
      <c r="C1036" t="s">
        <v>1907</v>
      </c>
    </row>
    <row r="1037" spans="3:3">
      <c r="C1037" t="s">
        <v>1908</v>
      </c>
    </row>
    <row r="1038" spans="3:3">
      <c r="C1038" t="s">
        <v>1909</v>
      </c>
    </row>
    <row r="1039" spans="3:3">
      <c r="C1039" t="s">
        <v>1910</v>
      </c>
    </row>
    <row r="1040" spans="3:3">
      <c r="C1040" t="s">
        <v>1911</v>
      </c>
    </row>
    <row r="1041" spans="3:3">
      <c r="C1041" t="s">
        <v>1912</v>
      </c>
    </row>
    <row r="1042" spans="3:3">
      <c r="C1042" t="s">
        <v>1913</v>
      </c>
    </row>
    <row r="1043" spans="3:3">
      <c r="C1043" t="s">
        <v>1914</v>
      </c>
    </row>
    <row r="1044" spans="3:3">
      <c r="C1044" t="s">
        <v>1915</v>
      </c>
    </row>
    <row r="1045" spans="3:3">
      <c r="C1045" t="s">
        <v>1916</v>
      </c>
    </row>
    <row r="1046" spans="3:3">
      <c r="C1046" t="s">
        <v>1917</v>
      </c>
    </row>
    <row r="1047" spans="3:3">
      <c r="C1047" t="s">
        <v>1918</v>
      </c>
    </row>
    <row r="1048" spans="3:3">
      <c r="C1048" t="s">
        <v>1919</v>
      </c>
    </row>
    <row r="1049" spans="3:3">
      <c r="C1049" t="s">
        <v>1920</v>
      </c>
    </row>
    <row r="1050" spans="3:3">
      <c r="C1050" t="s">
        <v>1921</v>
      </c>
    </row>
    <row r="1051" spans="3:3">
      <c r="C1051" t="s">
        <v>1922</v>
      </c>
    </row>
    <row r="1052" spans="3:3">
      <c r="C1052" t="s">
        <v>1923</v>
      </c>
    </row>
    <row r="1053" spans="3:3">
      <c r="C1053" t="s">
        <v>1924</v>
      </c>
    </row>
    <row r="1054" spans="3:3">
      <c r="C1054" t="s">
        <v>1925</v>
      </c>
    </row>
    <row r="1055" spans="3:3">
      <c r="C1055" t="s">
        <v>813</v>
      </c>
    </row>
    <row r="1056" spans="3:3">
      <c r="C1056" t="s">
        <v>814</v>
      </c>
    </row>
    <row r="1057" spans="3:3">
      <c r="C1057" t="s">
        <v>319</v>
      </c>
    </row>
    <row r="1058" spans="3:3">
      <c r="C1058" t="s">
        <v>320</v>
      </c>
    </row>
    <row r="1059" spans="3:3">
      <c r="C1059">
        <v>21</v>
      </c>
    </row>
    <row r="1060" spans="3:3">
      <c r="C1060" t="s">
        <v>829</v>
      </c>
    </row>
    <row r="1061" spans="3:3">
      <c r="C1061" t="s">
        <v>1888</v>
      </c>
    </row>
    <row r="1062" spans="3:3">
      <c r="C1062" t="s">
        <v>47</v>
      </c>
    </row>
    <row r="1063" spans="3:3">
      <c r="C1063" t="s">
        <v>48</v>
      </c>
    </row>
    <row r="1064" spans="3:3">
      <c r="C1064" t="s">
        <v>1926</v>
      </c>
    </row>
    <row r="1065" spans="3:3">
      <c r="C1065" t="s">
        <v>1927</v>
      </c>
    </row>
    <row r="1066" spans="3:3">
      <c r="C1066" t="s">
        <v>1928</v>
      </c>
    </row>
    <row r="1067" spans="3:3">
      <c r="C1067" t="s">
        <v>1929</v>
      </c>
    </row>
    <row r="1068" spans="3:3">
      <c r="C1068" t="s">
        <v>1930</v>
      </c>
    </row>
    <row r="1069" spans="3:3">
      <c r="C1069" t="s">
        <v>1931</v>
      </c>
    </row>
    <row r="1070" spans="3:3">
      <c r="C1070" t="s">
        <v>1932</v>
      </c>
    </row>
    <row r="1071" spans="3:3">
      <c r="C1071" t="s">
        <v>1933</v>
      </c>
    </row>
    <row r="1072" spans="3:3">
      <c r="C1072" t="s">
        <v>1934</v>
      </c>
    </row>
    <row r="1073" spans="3:3">
      <c r="C1073" t="s">
        <v>1935</v>
      </c>
    </row>
    <row r="1074" spans="3:3">
      <c r="C1074" t="s">
        <v>1936</v>
      </c>
    </row>
    <row r="1075" spans="3:3">
      <c r="C1075" t="s">
        <v>1937</v>
      </c>
    </row>
    <row r="1076" spans="3:3">
      <c r="C1076" t="s">
        <v>1904</v>
      </c>
    </row>
    <row r="1077" spans="3:3">
      <c r="C1077" t="s">
        <v>1905</v>
      </c>
    </row>
    <row r="1078" spans="3:3">
      <c r="C1078" t="s">
        <v>399</v>
      </c>
    </row>
    <row r="1079" spans="3:3">
      <c r="C1079" t="s">
        <v>1938</v>
      </c>
    </row>
    <row r="1080" spans="3:3">
      <c r="C1080" t="s">
        <v>1021</v>
      </c>
    </row>
    <row r="1081" spans="3:3">
      <c r="C1081" t="s">
        <v>813</v>
      </c>
    </row>
    <row r="1082" spans="3:3">
      <c r="C1082" t="s">
        <v>814</v>
      </c>
    </row>
    <row r="1083" spans="3:3">
      <c r="C1083" t="s">
        <v>319</v>
      </c>
    </row>
    <row r="1084" spans="3:3">
      <c r="C1084" t="s">
        <v>320</v>
      </c>
    </row>
    <row r="1085" spans="3:3">
      <c r="C1085">
        <v>22</v>
      </c>
    </row>
    <row r="1086" spans="3:3">
      <c r="C1086" t="s">
        <v>829</v>
      </c>
    </row>
    <row r="1087" spans="3:3">
      <c r="C1087" t="s">
        <v>1022</v>
      </c>
    </row>
    <row r="1088" spans="3:3">
      <c r="C1088" t="s">
        <v>1023</v>
      </c>
    </row>
    <row r="1089" spans="3:3">
      <c r="C1089" t="s">
        <v>391</v>
      </c>
    </row>
    <row r="1090" spans="3:3">
      <c r="C1090" t="s">
        <v>1024</v>
      </c>
    </row>
    <row r="1091" spans="3:3">
      <c r="C1091" t="s">
        <v>1025</v>
      </c>
    </row>
    <row r="1092" spans="3:3">
      <c r="C1092" t="s">
        <v>392</v>
      </c>
    </row>
    <row r="1093" spans="3:3">
      <c r="C1093" t="s">
        <v>1026</v>
      </c>
    </row>
    <row r="1094" spans="3:3">
      <c r="C1094" t="s">
        <v>1027</v>
      </c>
    </row>
    <row r="1095" spans="3:3">
      <c r="C1095" t="s">
        <v>1939</v>
      </c>
    </row>
    <row r="1096" spans="3:3">
      <c r="C1096" t="s">
        <v>1940</v>
      </c>
    </row>
    <row r="1097" spans="3:3">
      <c r="C1097" t="s">
        <v>704</v>
      </c>
    </row>
    <row r="1098" spans="3:3">
      <c r="C1098" t="s">
        <v>705</v>
      </c>
    </row>
    <row r="1099" spans="3:3">
      <c r="C1099" t="s">
        <v>706</v>
      </c>
    </row>
    <row r="1100" spans="3:3">
      <c r="C1100" t="s">
        <v>1028</v>
      </c>
    </row>
    <row r="1101" spans="3:3">
      <c r="C1101" t="s">
        <v>391</v>
      </c>
    </row>
    <row r="1102" spans="3:3">
      <c r="C1102" t="s">
        <v>393</v>
      </c>
    </row>
    <row r="1103" spans="3:3">
      <c r="C1103" t="s">
        <v>47</v>
      </c>
    </row>
    <row r="1104" spans="3:3">
      <c r="C1104" t="s">
        <v>48</v>
      </c>
    </row>
    <row r="1105" spans="3:3">
      <c r="C1105" t="s">
        <v>1941</v>
      </c>
    </row>
    <row r="1106" spans="3:3">
      <c r="C1106" t="s">
        <v>1942</v>
      </c>
    </row>
    <row r="1107" spans="3:3">
      <c r="C1107" t="s">
        <v>1943</v>
      </c>
    </row>
    <row r="1108" spans="3:3">
      <c r="C1108" t="s">
        <v>1944</v>
      </c>
    </row>
    <row r="1109" spans="3:3">
      <c r="C1109" t="s">
        <v>1945</v>
      </c>
    </row>
    <row r="1110" spans="3:3">
      <c r="C1110" t="s">
        <v>1946</v>
      </c>
    </row>
    <row r="1111" spans="3:3">
      <c r="C1111" t="s">
        <v>1947</v>
      </c>
    </row>
    <row r="1112" spans="3:3">
      <c r="C1112" t="s">
        <v>1948</v>
      </c>
    </row>
    <row r="1113" spans="3:3">
      <c r="C1113" t="s">
        <v>1949</v>
      </c>
    </row>
    <row r="1114" spans="3:3">
      <c r="C1114" t="s">
        <v>1950</v>
      </c>
    </row>
    <row r="1115" spans="3:3">
      <c r="C1115" t="s">
        <v>1951</v>
      </c>
    </row>
    <row r="1116" spans="3:3">
      <c r="C1116" t="s">
        <v>1952</v>
      </c>
    </row>
    <row r="1117" spans="3:3">
      <c r="C1117" t="s">
        <v>1005</v>
      </c>
    </row>
    <row r="1118" spans="3:3">
      <c r="C1118" t="s">
        <v>766</v>
      </c>
    </row>
    <row r="1119" spans="3:3">
      <c r="C1119" t="s">
        <v>1020</v>
      </c>
    </row>
    <row r="1120" spans="3:3">
      <c r="C1120" t="s">
        <v>1953</v>
      </c>
    </row>
    <row r="1121" spans="3:3">
      <c r="C1121" t="s">
        <v>835</v>
      </c>
    </row>
    <row r="1122" spans="3:3">
      <c r="C1122" t="s">
        <v>1954</v>
      </c>
    </row>
    <row r="1123" spans="3:3">
      <c r="C1123" t="s">
        <v>813</v>
      </c>
    </row>
    <row r="1124" spans="3:3">
      <c r="C1124" t="s">
        <v>814</v>
      </c>
    </row>
    <row r="1125" spans="3:3">
      <c r="C1125" t="s">
        <v>319</v>
      </c>
    </row>
    <row r="1126" spans="3:3">
      <c r="C1126" t="s">
        <v>320</v>
      </c>
    </row>
    <row r="1127" spans="3:3">
      <c r="C1127">
        <v>23</v>
      </c>
    </row>
    <row r="1128" spans="3:3">
      <c r="C1128" t="s">
        <v>829</v>
      </c>
    </row>
    <row r="1129" spans="3:3">
      <c r="C1129" t="s">
        <v>1029</v>
      </c>
    </row>
    <row r="1130" spans="3:3">
      <c r="C1130" t="s">
        <v>400</v>
      </c>
    </row>
    <row r="1131" spans="3:3">
      <c r="C1131" t="s">
        <v>401</v>
      </c>
    </row>
    <row r="1132" spans="3:3">
      <c r="C1132" t="s">
        <v>710</v>
      </c>
    </row>
    <row r="1133" spans="3:3">
      <c r="C1133" t="s">
        <v>711</v>
      </c>
    </row>
    <row r="1134" spans="3:3">
      <c r="C1134" t="s">
        <v>712</v>
      </c>
    </row>
    <row r="1135" spans="3:3">
      <c r="C1135" t="s">
        <v>1030</v>
      </c>
    </row>
    <row r="1136" spans="3:3">
      <c r="C1136" t="s">
        <v>1031</v>
      </c>
    </row>
    <row r="1137" spans="3:3">
      <c r="C1137" t="s">
        <v>400</v>
      </c>
    </row>
    <row r="1138" spans="3:3">
      <c r="C1138" t="s">
        <v>393</v>
      </c>
    </row>
    <row r="1139" spans="3:3">
      <c r="C1139" t="s">
        <v>47</v>
      </c>
    </row>
    <row r="1140" spans="3:3">
      <c r="C1140" t="s">
        <v>48</v>
      </c>
    </row>
    <row r="1141" spans="3:3">
      <c r="C1141" t="s">
        <v>134</v>
      </c>
    </row>
    <row r="1142" spans="3:3">
      <c r="C1142" t="s">
        <v>1955</v>
      </c>
    </row>
    <row r="1143" spans="3:3">
      <c r="C1143" t="s">
        <v>1956</v>
      </c>
    </row>
    <row r="1144" spans="3:3">
      <c r="C1144" t="s">
        <v>1957</v>
      </c>
    </row>
    <row r="1145" spans="3:3">
      <c r="C1145" t="s">
        <v>1958</v>
      </c>
    </row>
    <row r="1146" spans="3:3">
      <c r="C1146" t="s">
        <v>1959</v>
      </c>
    </row>
    <row r="1147" spans="3:3">
      <c r="C1147" t="s">
        <v>1960</v>
      </c>
    </row>
    <row r="1148" spans="3:3">
      <c r="C1148" t="s">
        <v>1961</v>
      </c>
    </row>
    <row r="1149" spans="3:3">
      <c r="C1149" t="s">
        <v>1962</v>
      </c>
    </row>
    <row r="1150" spans="3:3">
      <c r="C1150" t="s">
        <v>1963</v>
      </c>
    </row>
    <row r="1151" spans="3:3">
      <c r="C1151" t="s">
        <v>1964</v>
      </c>
    </row>
    <row r="1152" spans="3:3">
      <c r="C1152" t="s">
        <v>1965</v>
      </c>
    </row>
    <row r="1153" spans="3:3">
      <c r="C1153" t="s">
        <v>1966</v>
      </c>
    </row>
    <row r="1154" spans="3:3">
      <c r="C1154" t="s">
        <v>1967</v>
      </c>
    </row>
    <row r="1155" spans="3:3">
      <c r="C1155" t="s">
        <v>1968</v>
      </c>
    </row>
    <row r="1156" spans="3:3">
      <c r="C1156" t="s">
        <v>1969</v>
      </c>
    </row>
    <row r="1157" spans="3:3">
      <c r="C1157" t="s">
        <v>1970</v>
      </c>
    </row>
    <row r="1158" spans="3:3">
      <c r="C1158" t="s">
        <v>1971</v>
      </c>
    </row>
    <row r="1159" spans="3:3">
      <c r="C1159" t="s">
        <v>1972</v>
      </c>
    </row>
    <row r="1160" spans="3:3">
      <c r="C1160" t="s">
        <v>1973</v>
      </c>
    </row>
    <row r="1161" spans="3:3">
      <c r="C1161" t="s">
        <v>1974</v>
      </c>
    </row>
    <row r="1162" spans="3:3">
      <c r="C1162" t="s">
        <v>1975</v>
      </c>
    </row>
    <row r="1163" spans="3:3">
      <c r="C1163" t="s">
        <v>1976</v>
      </c>
    </row>
    <row r="1164" spans="3:3">
      <c r="C1164" t="s">
        <v>297</v>
      </c>
    </row>
    <row r="1165" spans="3:3">
      <c r="C1165" t="s">
        <v>1977</v>
      </c>
    </row>
    <row r="1166" spans="3:3">
      <c r="C1166" t="s">
        <v>1978</v>
      </c>
    </row>
    <row r="1167" spans="3:3">
      <c r="C1167" t="s">
        <v>1979</v>
      </c>
    </row>
    <row r="1168" spans="3:3">
      <c r="C1168" t="s">
        <v>325</v>
      </c>
    </row>
    <row r="1169" spans="3:3">
      <c r="C1169" t="s">
        <v>1669</v>
      </c>
    </row>
    <row r="1170" spans="3:3">
      <c r="C1170" t="s">
        <v>841</v>
      </c>
    </row>
    <row r="1171" spans="3:3">
      <c r="C1171" t="s">
        <v>1</v>
      </c>
    </row>
    <row r="1172" spans="3:3">
      <c r="C1172" t="s">
        <v>1670</v>
      </c>
    </row>
    <row r="1173" spans="3:3">
      <c r="C1173" t="s">
        <v>843</v>
      </c>
    </row>
    <row r="1174" spans="3:3">
      <c r="C1174" t="s">
        <v>1980</v>
      </c>
    </row>
    <row r="1175" spans="3:3">
      <c r="C1175" t="s">
        <v>1981</v>
      </c>
    </row>
    <row r="1176" spans="3:3">
      <c r="C1176" t="s">
        <v>1982</v>
      </c>
    </row>
    <row r="1177" spans="3:3">
      <c r="C1177" t="s">
        <v>1983</v>
      </c>
    </row>
    <row r="1178" spans="3:3">
      <c r="C1178" t="s">
        <v>30</v>
      </c>
    </row>
    <row r="1179" spans="3:3">
      <c r="C1179" t="s">
        <v>1984</v>
      </c>
    </row>
    <row r="1180" spans="3:3">
      <c r="C1180" t="s">
        <v>1985</v>
      </c>
    </row>
    <row r="1181" spans="3:3">
      <c r="C1181" t="s">
        <v>1986</v>
      </c>
    </row>
    <row r="1182" spans="3:3">
      <c r="C1182" t="s">
        <v>1987</v>
      </c>
    </row>
    <row r="1183" spans="3:3">
      <c r="C1183" t="s">
        <v>1988</v>
      </c>
    </row>
    <row r="1184" spans="3:3">
      <c r="C1184" t="s">
        <v>1989</v>
      </c>
    </row>
    <row r="1185" spans="3:3">
      <c r="C1185" t="s">
        <v>1990</v>
      </c>
    </row>
    <row r="1186" spans="3:3">
      <c r="C1186" t="s">
        <v>1991</v>
      </c>
    </row>
    <row r="1187" spans="3:3">
      <c r="C1187" t="s">
        <v>1032</v>
      </c>
    </row>
    <row r="1188" spans="3:3">
      <c r="C1188" t="s">
        <v>393</v>
      </c>
    </row>
    <row r="1189" spans="3:3">
      <c r="C1189" t="s">
        <v>47</v>
      </c>
    </row>
    <row r="1190" spans="3:3">
      <c r="C1190" t="s">
        <v>48</v>
      </c>
    </row>
    <row r="1191" spans="3:3">
      <c r="C1191" t="s">
        <v>322</v>
      </c>
    </row>
    <row r="1192" spans="3:3">
      <c r="C1192" t="s">
        <v>50</v>
      </c>
    </row>
    <row r="1193" spans="3:3">
      <c r="C1193" t="s">
        <v>1172</v>
      </c>
    </row>
    <row r="1194" spans="3:3">
      <c r="C1194" t="s">
        <v>1036</v>
      </c>
    </row>
    <row r="1195" spans="3:3">
      <c r="C1195" t="s">
        <v>402</v>
      </c>
    </row>
    <row r="1196" spans="3:3">
      <c r="C1196" t="s">
        <v>1992</v>
      </c>
    </row>
    <row r="1197" spans="3:3">
      <c r="C1197" t="s">
        <v>51</v>
      </c>
    </row>
    <row r="1198" spans="3:3">
      <c r="C1198" t="s">
        <v>54</v>
      </c>
    </row>
    <row r="1199" spans="3:3">
      <c r="C1199" t="s">
        <v>184</v>
      </c>
    </row>
    <row r="1200" spans="3:3">
      <c r="C1200" t="s">
        <v>1037</v>
      </c>
    </row>
    <row r="1201" spans="3:3">
      <c r="C1201" t="s">
        <v>1993</v>
      </c>
    </row>
    <row r="1202" spans="3:3">
      <c r="C1202" t="s">
        <v>1994</v>
      </c>
    </row>
    <row r="1203" spans="3:3">
      <c r="C1203" t="s">
        <v>2</v>
      </c>
    </row>
    <row r="1204" spans="3:3">
      <c r="C1204" t="s">
        <v>813</v>
      </c>
    </row>
    <row r="1205" spans="3:3">
      <c r="C1205" t="s">
        <v>814</v>
      </c>
    </row>
    <row r="1206" spans="3:3">
      <c r="C1206" t="s">
        <v>319</v>
      </c>
    </row>
    <row r="1207" spans="3:3">
      <c r="C1207" t="s">
        <v>320</v>
      </c>
    </row>
    <row r="1208" spans="3:3">
      <c r="C1208">
        <v>24</v>
      </c>
    </row>
    <row r="1209" spans="3:3">
      <c r="C1209" t="s">
        <v>829</v>
      </c>
    </row>
    <row r="1210" spans="3:3">
      <c r="C1210" t="s">
        <v>393</v>
      </c>
    </row>
    <row r="1211" spans="3:3">
      <c r="C1211" t="s">
        <v>47</v>
      </c>
    </row>
    <row r="1212" spans="3:3">
      <c r="C1212" t="s">
        <v>48</v>
      </c>
    </row>
    <row r="1213" spans="3:3">
      <c r="C1213" t="s">
        <v>322</v>
      </c>
    </row>
    <row r="1214" spans="3:3">
      <c r="C1214" t="s">
        <v>1033</v>
      </c>
    </row>
    <row r="1215" spans="3:3">
      <c r="C1215" t="s">
        <v>179</v>
      </c>
    </row>
    <row r="1216" spans="3:3">
      <c r="C1216" t="s">
        <v>1034</v>
      </c>
    </row>
    <row r="1217" spans="3:3">
      <c r="C1217" t="s">
        <v>405</v>
      </c>
    </row>
    <row r="1218" spans="3:3">
      <c r="C1218" t="s">
        <v>1995</v>
      </c>
    </row>
    <row r="1219" spans="3:3">
      <c r="C1219" t="s">
        <v>1040</v>
      </c>
    </row>
    <row r="1220" spans="3:3">
      <c r="C1220" t="s">
        <v>403</v>
      </c>
    </row>
    <row r="1221" spans="3:3">
      <c r="C1221" t="s">
        <v>56</v>
      </c>
    </row>
    <row r="1222" spans="3:3">
      <c r="C1222" t="s">
        <v>1038</v>
      </c>
    </row>
    <row r="1223" spans="3:3">
      <c r="C1223" t="s">
        <v>1996</v>
      </c>
    </row>
    <row r="1224" spans="3:3">
      <c r="C1224" t="s">
        <v>214</v>
      </c>
    </row>
    <row r="1225" spans="3:3">
      <c r="C1225" t="s">
        <v>2</v>
      </c>
    </row>
    <row r="1226" spans="3:3">
      <c r="C1226" t="s">
        <v>404</v>
      </c>
    </row>
    <row r="1227" spans="3:3">
      <c r="C1227" t="s">
        <v>58</v>
      </c>
    </row>
    <row r="1228" spans="3:3">
      <c r="C1228" t="s">
        <v>59</v>
      </c>
    </row>
    <row r="1229" spans="3:3">
      <c r="C1229" t="s">
        <v>1039</v>
      </c>
    </row>
    <row r="1230" spans="3:3">
      <c r="C1230" t="s">
        <v>60</v>
      </c>
    </row>
    <row r="1231" spans="3:3">
      <c r="C1231" t="s">
        <v>61</v>
      </c>
    </row>
    <row r="1232" spans="3:3">
      <c r="C1232" t="s">
        <v>406</v>
      </c>
    </row>
    <row r="1233" spans="3:3">
      <c r="C1233" t="s">
        <v>696</v>
      </c>
    </row>
    <row r="1234" spans="3:3">
      <c r="C1234" t="s">
        <v>695</v>
      </c>
    </row>
    <row r="1235" spans="3:3">
      <c r="C1235" t="s">
        <v>407</v>
      </c>
    </row>
    <row r="1236" spans="3:3">
      <c r="C1236" t="s">
        <v>1671</v>
      </c>
    </row>
    <row r="1237" spans="3:3">
      <c r="C1237" t="s">
        <v>1672</v>
      </c>
    </row>
    <row r="1238" spans="3:3">
      <c r="C1238" t="s">
        <v>1703</v>
      </c>
    </row>
    <row r="1239" spans="3:3">
      <c r="C1239" t="s">
        <v>1041</v>
      </c>
    </row>
    <row r="1240" spans="3:3">
      <c r="C1240" t="s">
        <v>393</v>
      </c>
    </row>
    <row r="1241" spans="3:3">
      <c r="C1241" t="s">
        <v>47</v>
      </c>
    </row>
    <row r="1242" spans="3:3">
      <c r="C1242" t="s">
        <v>48</v>
      </c>
    </row>
    <row r="1243" spans="3:3">
      <c r="C1243" t="s">
        <v>322</v>
      </c>
    </row>
    <row r="1244" spans="3:3">
      <c r="C1244" t="s">
        <v>50</v>
      </c>
    </row>
    <row r="1245" spans="3:3">
      <c r="C1245" t="s">
        <v>793</v>
      </c>
    </row>
    <row r="1246" spans="3:3">
      <c r="C1246" t="s">
        <v>703</v>
      </c>
    </row>
    <row r="1247" spans="3:3">
      <c r="C1247" t="s">
        <v>1997</v>
      </c>
    </row>
    <row r="1248" spans="3:3">
      <c r="C1248" t="s">
        <v>267</v>
      </c>
    </row>
    <row r="1249" spans="3:3">
      <c r="C1249" t="s">
        <v>62</v>
      </c>
    </row>
    <row r="1250" spans="3:3">
      <c r="C1250" t="s">
        <v>714</v>
      </c>
    </row>
    <row r="1251" spans="3:3">
      <c r="C1251" t="s">
        <v>230</v>
      </c>
    </row>
    <row r="1252" spans="3:3">
      <c r="C1252" t="s">
        <v>1042</v>
      </c>
    </row>
    <row r="1253" spans="3:3">
      <c r="C1253" t="s">
        <v>408</v>
      </c>
    </row>
    <row r="1254" spans="3:3">
      <c r="C1254" t="s">
        <v>129</v>
      </c>
    </row>
    <row r="1255" spans="3:3">
      <c r="C1255" t="s">
        <v>1045</v>
      </c>
    </row>
    <row r="1256" spans="3:3">
      <c r="C1256" t="s">
        <v>409</v>
      </c>
    </row>
    <row r="1257" spans="3:3">
      <c r="C1257" t="s">
        <v>1312</v>
      </c>
    </row>
    <row r="1258" spans="3:3">
      <c r="C1258" t="s">
        <v>875</v>
      </c>
    </row>
    <row r="1259" spans="3:3">
      <c r="C1259" t="s">
        <v>1998</v>
      </c>
    </row>
    <row r="1260" spans="3:3">
      <c r="C1260" t="s">
        <v>1999</v>
      </c>
    </row>
    <row r="1261" spans="3:3">
      <c r="C1261" t="s">
        <v>875</v>
      </c>
    </row>
    <row r="1262" spans="3:3">
      <c r="C1262" t="s">
        <v>2000</v>
      </c>
    </row>
    <row r="1263" spans="3:3">
      <c r="C1263" t="s">
        <v>1999</v>
      </c>
    </row>
    <row r="1264" spans="3:3">
      <c r="C1264" t="s">
        <v>49</v>
      </c>
    </row>
    <row r="1265" spans="3:3">
      <c r="C1265" t="s">
        <v>65</v>
      </c>
    </row>
    <row r="1266" spans="3:3">
      <c r="C1266" t="s">
        <v>68</v>
      </c>
    </row>
    <row r="1267" spans="3:3">
      <c r="C1267" t="s">
        <v>1043</v>
      </c>
    </row>
    <row r="1268" spans="3:3">
      <c r="C1268" t="s">
        <v>1046</v>
      </c>
    </row>
    <row r="1269" spans="3:3">
      <c r="C1269" t="s">
        <v>2</v>
      </c>
    </row>
    <row r="1270" spans="3:3">
      <c r="C1270" t="s">
        <v>214</v>
      </c>
    </row>
    <row r="1271" spans="3:3">
      <c r="C1271" t="s">
        <v>406</v>
      </c>
    </row>
    <row r="1272" spans="3:3">
      <c r="C1272" t="s">
        <v>2001</v>
      </c>
    </row>
    <row r="1273" spans="3:3">
      <c r="C1273" t="s">
        <v>2002</v>
      </c>
    </row>
    <row r="1274" spans="3:3">
      <c r="C1274" t="s">
        <v>410</v>
      </c>
    </row>
    <row r="1275" spans="3:3">
      <c r="C1275" t="s">
        <v>2003</v>
      </c>
    </row>
    <row r="1276" spans="3:3">
      <c r="C1276" t="s">
        <v>2004</v>
      </c>
    </row>
    <row r="1277" spans="3:3">
      <c r="C1277" t="s">
        <v>1703</v>
      </c>
    </row>
    <row r="1278" spans="3:3">
      <c r="C1278" t="s">
        <v>1048</v>
      </c>
    </row>
    <row r="1279" spans="3:3">
      <c r="C1279" t="s">
        <v>393</v>
      </c>
    </row>
    <row r="1280" spans="3:3">
      <c r="C1280" t="s">
        <v>47</v>
      </c>
    </row>
    <row r="1281" spans="3:3">
      <c r="C1281" t="s">
        <v>48</v>
      </c>
    </row>
    <row r="1282" spans="3:3">
      <c r="C1282" t="s">
        <v>2005</v>
      </c>
    </row>
    <row r="1283" spans="3:3">
      <c r="C1283" t="s">
        <v>1006</v>
      </c>
    </row>
    <row r="1284" spans="3:3">
      <c r="C1284" t="s">
        <v>1050</v>
      </c>
    </row>
    <row r="1285" spans="3:3">
      <c r="C1285" t="s">
        <v>411</v>
      </c>
    </row>
    <row r="1286" spans="3:3">
      <c r="C1286" t="s">
        <v>2006</v>
      </c>
    </row>
    <row r="1287" spans="3:3">
      <c r="C1287" t="s">
        <v>1049</v>
      </c>
    </row>
    <row r="1288" spans="3:3">
      <c r="C1288" t="s">
        <v>2007</v>
      </c>
    </row>
    <row r="1289" spans="3:3">
      <c r="C1289" t="s">
        <v>36</v>
      </c>
    </row>
    <row r="1290" spans="3:3">
      <c r="C1290" t="s">
        <v>186</v>
      </c>
    </row>
    <row r="1291" spans="3:3">
      <c r="C1291" t="s">
        <v>1051</v>
      </c>
    </row>
    <row r="1292" spans="3:3">
      <c r="C1292" t="s">
        <v>2008</v>
      </c>
    </row>
    <row r="1293" spans="3:3">
      <c r="C1293" t="s">
        <v>67</v>
      </c>
    </row>
    <row r="1294" spans="3:3">
      <c r="C1294" t="s">
        <v>1052</v>
      </c>
    </row>
    <row r="1295" spans="3:3">
      <c r="C1295" t="s">
        <v>2009</v>
      </c>
    </row>
    <row r="1296" spans="3:3">
      <c r="C1296" t="s">
        <v>2010</v>
      </c>
    </row>
    <row r="1297" spans="3:3">
      <c r="C1297" t="s">
        <v>2011</v>
      </c>
    </row>
    <row r="1298" spans="3:3">
      <c r="C1298" t="s">
        <v>2012</v>
      </c>
    </row>
    <row r="1299" spans="3:3">
      <c r="C1299" t="s">
        <v>2013</v>
      </c>
    </row>
    <row r="1300" spans="3:3">
      <c r="C1300" t="s">
        <v>1053</v>
      </c>
    </row>
    <row r="1301" spans="3:3">
      <c r="C1301" t="s">
        <v>2014</v>
      </c>
    </row>
    <row r="1302" spans="3:3">
      <c r="C1302" t="s">
        <v>1054</v>
      </c>
    </row>
    <row r="1303" spans="3:3">
      <c r="C1303" t="s">
        <v>1055</v>
      </c>
    </row>
    <row r="1304" spans="3:3">
      <c r="C1304" t="s">
        <v>2</v>
      </c>
    </row>
    <row r="1305" spans="3:3">
      <c r="C1305" t="s">
        <v>145</v>
      </c>
    </row>
    <row r="1306" spans="3:3">
      <c r="C1306" t="s">
        <v>406</v>
      </c>
    </row>
    <row r="1307" spans="3:3">
      <c r="C1307" t="s">
        <v>2</v>
      </c>
    </row>
    <row r="1308" spans="3:3">
      <c r="C1308" t="s">
        <v>163</v>
      </c>
    </row>
    <row r="1309" spans="3:3">
      <c r="C1309" t="s">
        <v>412</v>
      </c>
    </row>
    <row r="1310" spans="3:3">
      <c r="C1310" t="s">
        <v>1678</v>
      </c>
    </row>
    <row r="1311" spans="3:3">
      <c r="C1311" t="s">
        <v>1056</v>
      </c>
    </row>
    <row r="1312" spans="3:3">
      <c r="C1312" t="s">
        <v>813</v>
      </c>
    </row>
    <row r="1313" spans="3:3">
      <c r="C1313" t="s">
        <v>814</v>
      </c>
    </row>
    <row r="1314" spans="3:3">
      <c r="C1314" t="s">
        <v>319</v>
      </c>
    </row>
    <row r="1315" spans="3:3">
      <c r="C1315" t="s">
        <v>320</v>
      </c>
    </row>
    <row r="1316" spans="3:3">
      <c r="C1316">
        <v>25</v>
      </c>
    </row>
    <row r="1317" spans="3:3">
      <c r="C1317" t="s">
        <v>829</v>
      </c>
    </row>
    <row r="1318" spans="3:3">
      <c r="C1318" t="s">
        <v>1057</v>
      </c>
    </row>
    <row r="1319" spans="3:3">
      <c r="C1319" t="s">
        <v>393</v>
      </c>
    </row>
    <row r="1320" spans="3:3">
      <c r="C1320" t="s">
        <v>47</v>
      </c>
    </row>
    <row r="1321" spans="3:3">
      <c r="C1321" t="s">
        <v>48</v>
      </c>
    </row>
    <row r="1322" spans="3:3">
      <c r="C1322" t="s">
        <v>2015</v>
      </c>
    </row>
    <row r="1323" spans="3:3">
      <c r="C1323" t="s">
        <v>2016</v>
      </c>
    </row>
    <row r="1324" spans="3:3">
      <c r="C1324" t="s">
        <v>2017</v>
      </c>
    </row>
    <row r="1325" spans="3:3">
      <c r="C1325" t="s">
        <v>68</v>
      </c>
    </row>
    <row r="1326" spans="3:3">
      <c r="C1326" t="s">
        <v>2018</v>
      </c>
    </row>
    <row r="1327" spans="3:3">
      <c r="C1327" t="s">
        <v>754</v>
      </c>
    </row>
    <row r="1328" spans="3:3">
      <c r="C1328" t="s">
        <v>2019</v>
      </c>
    </row>
    <row r="1329" spans="3:3">
      <c r="C1329" t="s">
        <v>851</v>
      </c>
    </row>
    <row r="1330" spans="3:3">
      <c r="C1330" t="s">
        <v>2020</v>
      </c>
    </row>
    <row r="1331" spans="3:3">
      <c r="C1331" t="s">
        <v>2021</v>
      </c>
    </row>
    <row r="1332" spans="3:3">
      <c r="C1332" t="s">
        <v>2022</v>
      </c>
    </row>
    <row r="1333" spans="3:3">
      <c r="C1333" t="s">
        <v>2023</v>
      </c>
    </row>
    <row r="1334" spans="3:3">
      <c r="C1334" t="s">
        <v>2024</v>
      </c>
    </row>
    <row r="1335" spans="3:3">
      <c r="C1335" t="s">
        <v>2025</v>
      </c>
    </row>
    <row r="1336" spans="3:3">
      <c r="C1336" t="s">
        <v>2026</v>
      </c>
    </row>
    <row r="1337" spans="3:3">
      <c r="C1337" t="s">
        <v>758</v>
      </c>
    </row>
    <row r="1338" spans="3:3">
      <c r="C1338" t="s">
        <v>2027</v>
      </c>
    </row>
    <row r="1339" spans="3:3">
      <c r="C1339" t="s">
        <v>2028</v>
      </c>
    </row>
    <row r="1340" spans="3:3">
      <c r="C1340" t="s">
        <v>2029</v>
      </c>
    </row>
    <row r="1341" spans="3:3">
      <c r="C1341" t="s">
        <v>73</v>
      </c>
    </row>
    <row r="1342" spans="3:3">
      <c r="C1342" t="s">
        <v>2030</v>
      </c>
    </row>
    <row r="1343" spans="3:3">
      <c r="C1343" t="s">
        <v>278</v>
      </c>
    </row>
    <row r="1344" spans="3:3">
      <c r="C1344" t="s">
        <v>2031</v>
      </c>
    </row>
    <row r="1345" spans="3:3">
      <c r="C1345" t="s">
        <v>853</v>
      </c>
    </row>
    <row r="1346" spans="3:3">
      <c r="C1346" t="s">
        <v>2032</v>
      </c>
    </row>
    <row r="1347" spans="3:3">
      <c r="C1347" t="s">
        <v>2033</v>
      </c>
    </row>
    <row r="1348" spans="3:3">
      <c r="C1348" t="s">
        <v>2034</v>
      </c>
    </row>
    <row r="1349" spans="3:3">
      <c r="C1349" t="s">
        <v>2035</v>
      </c>
    </row>
    <row r="1350" spans="3:3">
      <c r="C1350" t="s">
        <v>2036</v>
      </c>
    </row>
    <row r="1351" spans="3:3">
      <c r="C1351" t="s">
        <v>2035</v>
      </c>
    </row>
    <row r="1352" spans="3:3">
      <c r="C1352" t="s">
        <v>393</v>
      </c>
    </row>
    <row r="1353" spans="3:3">
      <c r="C1353" t="s">
        <v>47</v>
      </c>
    </row>
    <row r="1354" spans="3:3">
      <c r="C1354" t="s">
        <v>48</v>
      </c>
    </row>
    <row r="1355" spans="3:3">
      <c r="C1355" t="s">
        <v>2037</v>
      </c>
    </row>
    <row r="1356" spans="3:3">
      <c r="C1356" t="s">
        <v>1695</v>
      </c>
    </row>
    <row r="1357" spans="3:3">
      <c r="C1357" t="s">
        <v>873</v>
      </c>
    </row>
    <row r="1358" spans="3:3">
      <c r="C1358" t="s">
        <v>2038</v>
      </c>
    </row>
    <row r="1359" spans="3:3">
      <c r="C1359" t="s">
        <v>2039</v>
      </c>
    </row>
    <row r="1360" spans="3:3">
      <c r="C1360" t="s">
        <v>2040</v>
      </c>
    </row>
    <row r="1361" spans="3:3">
      <c r="C1361" t="s">
        <v>2041</v>
      </c>
    </row>
    <row r="1362" spans="3:3">
      <c r="C1362" t="s">
        <v>2042</v>
      </c>
    </row>
    <row r="1363" spans="3:3">
      <c r="C1363" t="s">
        <v>813</v>
      </c>
    </row>
    <row r="1364" spans="3:3">
      <c r="C1364" t="s">
        <v>814</v>
      </c>
    </row>
    <row r="1365" spans="3:3">
      <c r="C1365" t="s">
        <v>319</v>
      </c>
    </row>
    <row r="1366" spans="3:3">
      <c r="C1366" t="s">
        <v>320</v>
      </c>
    </row>
    <row r="1367" spans="3:3">
      <c r="C1367">
        <v>26</v>
      </c>
    </row>
    <row r="1368" spans="3:3">
      <c r="C1368" t="s">
        <v>829</v>
      </c>
    </row>
    <row r="1369" spans="3:3">
      <c r="C1369" t="s">
        <v>1060</v>
      </c>
    </row>
    <row r="1370" spans="3:3">
      <c r="C1370" t="s">
        <v>75</v>
      </c>
    </row>
    <row r="1371" spans="3:3">
      <c r="C1371" t="s">
        <v>2043</v>
      </c>
    </row>
    <row r="1372" spans="3:3">
      <c r="C1372" t="s">
        <v>413</v>
      </c>
    </row>
    <row r="1373" spans="3:3">
      <c r="C1373" t="s">
        <v>1061</v>
      </c>
    </row>
    <row r="1374" spans="3:3">
      <c r="C1374" t="s">
        <v>414</v>
      </c>
    </row>
    <row r="1375" spans="3:3">
      <c r="C1375" t="s">
        <v>1062</v>
      </c>
    </row>
    <row r="1376" spans="3:3">
      <c r="C1376" t="s">
        <v>1063</v>
      </c>
    </row>
    <row r="1377" spans="3:3">
      <c r="C1377" t="s">
        <v>2044</v>
      </c>
    </row>
    <row r="1378" spans="3:3">
      <c r="C1378" t="s">
        <v>2045</v>
      </c>
    </row>
    <row r="1379" spans="3:3">
      <c r="C1379" t="s">
        <v>2046</v>
      </c>
    </row>
    <row r="1380" spans="3:3">
      <c r="C1380" t="s">
        <v>415</v>
      </c>
    </row>
    <row r="1381" spans="3:3">
      <c r="C1381" t="s">
        <v>416</v>
      </c>
    </row>
    <row r="1382" spans="3:3">
      <c r="C1382" t="s">
        <v>1064</v>
      </c>
    </row>
    <row r="1383" spans="3:3">
      <c r="C1383" t="s">
        <v>2047</v>
      </c>
    </row>
    <row r="1384" spans="3:3">
      <c r="C1384" t="s">
        <v>813</v>
      </c>
    </row>
    <row r="1385" spans="3:3">
      <c r="C1385" t="s">
        <v>814</v>
      </c>
    </row>
    <row r="1386" spans="3:3">
      <c r="C1386" t="s">
        <v>319</v>
      </c>
    </row>
    <row r="1387" spans="3:3">
      <c r="C1387" t="s">
        <v>320</v>
      </c>
    </row>
    <row r="1388" spans="3:3">
      <c r="C1388">
        <v>27</v>
      </c>
    </row>
    <row r="1389" spans="3:3">
      <c r="C1389" t="s">
        <v>829</v>
      </c>
    </row>
    <row r="1390" spans="3:3">
      <c r="C1390" t="s">
        <v>415</v>
      </c>
    </row>
    <row r="1391" spans="3:3">
      <c r="C1391" t="s">
        <v>2048</v>
      </c>
    </row>
    <row r="1392" spans="3:3">
      <c r="C1392" t="s">
        <v>417</v>
      </c>
    </row>
    <row r="1393" spans="3:3">
      <c r="C1393" t="s">
        <v>2049</v>
      </c>
    </row>
    <row r="1394" spans="3:3">
      <c r="C1394" t="s">
        <v>1065</v>
      </c>
    </row>
    <row r="1395" spans="3:3">
      <c r="C1395" t="s">
        <v>2050</v>
      </c>
    </row>
    <row r="1396" spans="3:3">
      <c r="C1396" t="s">
        <v>1066</v>
      </c>
    </row>
    <row r="1397" spans="3:3">
      <c r="C1397" t="s">
        <v>418</v>
      </c>
    </row>
    <row r="1398" spans="3:3">
      <c r="C1398" t="s">
        <v>393</v>
      </c>
    </row>
    <row r="1399" spans="3:3">
      <c r="C1399" t="s">
        <v>47</v>
      </c>
    </row>
    <row r="1400" spans="3:3">
      <c r="C1400" t="s">
        <v>48</v>
      </c>
    </row>
    <row r="1401" spans="3:3">
      <c r="C1401" t="s">
        <v>2051</v>
      </c>
    </row>
    <row r="1402" spans="3:3">
      <c r="C1402" t="s">
        <v>2052</v>
      </c>
    </row>
    <row r="1403" spans="3:3">
      <c r="C1403" t="s">
        <v>2053</v>
      </c>
    </row>
    <row r="1404" spans="3:3">
      <c r="C1404" t="s">
        <v>2054</v>
      </c>
    </row>
    <row r="1405" spans="3:3">
      <c r="C1405" t="s">
        <v>2055</v>
      </c>
    </row>
    <row r="1406" spans="3:3">
      <c r="C1406" t="s">
        <v>2056</v>
      </c>
    </row>
    <row r="1407" spans="3:3">
      <c r="C1407" t="s">
        <v>2057</v>
      </c>
    </row>
    <row r="1408" spans="3:3">
      <c r="C1408" t="s">
        <v>131</v>
      </c>
    </row>
    <row r="1409" spans="3:3">
      <c r="C1409" t="s">
        <v>154</v>
      </c>
    </row>
    <row r="1410" spans="3:3">
      <c r="C1410" t="s">
        <v>417</v>
      </c>
    </row>
    <row r="1411" spans="3:3">
      <c r="C1411" t="s">
        <v>136</v>
      </c>
    </row>
    <row r="1412" spans="3:3">
      <c r="C1412" t="s">
        <v>2058</v>
      </c>
    </row>
    <row r="1413" spans="3:3">
      <c r="C1413" t="s">
        <v>2059</v>
      </c>
    </row>
    <row r="1414" spans="3:3">
      <c r="C1414" t="s">
        <v>2060</v>
      </c>
    </row>
    <row r="1415" spans="3:3">
      <c r="C1415" t="s">
        <v>2061</v>
      </c>
    </row>
    <row r="1416" spans="3:3">
      <c r="C1416" t="s">
        <v>2062</v>
      </c>
    </row>
    <row r="1417" spans="3:3">
      <c r="C1417" t="s">
        <v>2063</v>
      </c>
    </row>
    <row r="1418" spans="3:3">
      <c r="C1418" t="s">
        <v>393</v>
      </c>
    </row>
    <row r="1419" spans="3:3">
      <c r="C1419" t="s">
        <v>47</v>
      </c>
    </row>
    <row r="1420" spans="3:3">
      <c r="C1420" t="s">
        <v>48</v>
      </c>
    </row>
    <row r="1421" spans="3:3">
      <c r="C1421" t="s">
        <v>2064</v>
      </c>
    </row>
    <row r="1422" spans="3:3">
      <c r="C1422" t="s">
        <v>1683</v>
      </c>
    </row>
    <row r="1423" spans="3:3">
      <c r="C1423" t="s">
        <v>856</v>
      </c>
    </row>
    <row r="1424" spans="3:3">
      <c r="C1424" t="s">
        <v>2065</v>
      </c>
    </row>
    <row r="1425" spans="3:3">
      <c r="C1425" t="s">
        <v>2066</v>
      </c>
    </row>
    <row r="1426" spans="3:3">
      <c r="C1426" t="s">
        <v>2067</v>
      </c>
    </row>
    <row r="1427" spans="3:3">
      <c r="C1427" t="s">
        <v>2068</v>
      </c>
    </row>
    <row r="1428" spans="3:3">
      <c r="C1428" t="s">
        <v>2069</v>
      </c>
    </row>
    <row r="1429" spans="3:3">
      <c r="C1429" t="s">
        <v>153</v>
      </c>
    </row>
    <row r="1430" spans="3:3">
      <c r="C1430" t="s">
        <v>2070</v>
      </c>
    </row>
    <row r="1431" spans="3:3">
      <c r="C1431" t="s">
        <v>2071</v>
      </c>
    </row>
    <row r="1432" spans="3:3">
      <c r="C1432" t="s">
        <v>2</v>
      </c>
    </row>
    <row r="1433" spans="3:3">
      <c r="C1433" t="s">
        <v>2072</v>
      </c>
    </row>
    <row r="1434" spans="3:3">
      <c r="C1434" t="s">
        <v>2073</v>
      </c>
    </row>
    <row r="1435" spans="3:3">
      <c r="C1435" t="s">
        <v>770</v>
      </c>
    </row>
    <row r="1436" spans="3:3">
      <c r="C1436" t="s">
        <v>2074</v>
      </c>
    </row>
    <row r="1437" spans="3:3">
      <c r="C1437" t="s">
        <v>132</v>
      </c>
    </row>
    <row r="1438" spans="3:3">
      <c r="C1438" t="s">
        <v>76</v>
      </c>
    </row>
    <row r="1439" spans="3:3">
      <c r="C1439" t="s">
        <v>2075</v>
      </c>
    </row>
    <row r="1440" spans="3:3">
      <c r="C1440" t="s">
        <v>155</v>
      </c>
    </row>
    <row r="1441" spans="3:3">
      <c r="C1441" t="s">
        <v>1076</v>
      </c>
    </row>
    <row r="1442" spans="3:3">
      <c r="C1442" t="s">
        <v>2076</v>
      </c>
    </row>
    <row r="1443" spans="3:3">
      <c r="C1443" t="s">
        <v>2077</v>
      </c>
    </row>
    <row r="1444" spans="3:3">
      <c r="C1444" t="s">
        <v>745</v>
      </c>
    </row>
    <row r="1445" spans="3:3">
      <c r="C1445" t="s">
        <v>2078</v>
      </c>
    </row>
    <row r="1446" spans="3:3">
      <c r="C1446" t="s">
        <v>2079</v>
      </c>
    </row>
    <row r="1447" spans="3:3">
      <c r="C1447" t="s">
        <v>2080</v>
      </c>
    </row>
    <row r="1448" spans="3:3">
      <c r="C1448" t="s">
        <v>813</v>
      </c>
    </row>
    <row r="1449" spans="3:3">
      <c r="C1449" t="s">
        <v>814</v>
      </c>
    </row>
    <row r="1450" spans="3:3">
      <c r="C1450" t="s">
        <v>319</v>
      </c>
    </row>
    <row r="1451" spans="3:3">
      <c r="C1451" t="s">
        <v>320</v>
      </c>
    </row>
    <row r="1452" spans="3:3">
      <c r="C1452">
        <v>28</v>
      </c>
    </row>
    <row r="1453" spans="3:3">
      <c r="C1453" t="s">
        <v>829</v>
      </c>
    </row>
    <row r="1454" spans="3:3">
      <c r="C1454" t="s">
        <v>393</v>
      </c>
    </row>
    <row r="1455" spans="3:3">
      <c r="C1455" t="s">
        <v>47</v>
      </c>
    </row>
    <row r="1456" spans="3:3">
      <c r="C1456" t="s">
        <v>48</v>
      </c>
    </row>
    <row r="1457" spans="3:3">
      <c r="C1457" t="s">
        <v>2081</v>
      </c>
    </row>
    <row r="1458" spans="3:3">
      <c r="C1458" t="s">
        <v>2082</v>
      </c>
    </row>
    <row r="1459" spans="3:3">
      <c r="C1459" t="s">
        <v>56</v>
      </c>
    </row>
    <row r="1460" spans="3:3">
      <c r="C1460" t="s">
        <v>2083</v>
      </c>
    </row>
    <row r="1461" spans="3:3">
      <c r="C1461" t="s">
        <v>131</v>
      </c>
    </row>
    <row r="1462" spans="3:3">
      <c r="C1462" t="s">
        <v>154</v>
      </c>
    </row>
    <row r="1463" spans="3:3">
      <c r="C1463" t="s">
        <v>417</v>
      </c>
    </row>
    <row r="1464" spans="3:3">
      <c r="C1464" t="s">
        <v>136</v>
      </c>
    </row>
    <row r="1465" spans="3:3">
      <c r="C1465" t="s">
        <v>2058</v>
      </c>
    </row>
    <row r="1466" spans="3:3">
      <c r="C1466" t="s">
        <v>2084</v>
      </c>
    </row>
    <row r="1467" spans="3:3">
      <c r="C1467" t="s">
        <v>2</v>
      </c>
    </row>
    <row r="1468" spans="3:3">
      <c r="C1468" t="s">
        <v>2085</v>
      </c>
    </row>
    <row r="1469" spans="3:3">
      <c r="C1469" t="s">
        <v>2086</v>
      </c>
    </row>
    <row r="1470" spans="3:3">
      <c r="C1470" t="s">
        <v>2087</v>
      </c>
    </row>
    <row r="1471" spans="3:3">
      <c r="C1471" t="s">
        <v>2088</v>
      </c>
    </row>
    <row r="1472" spans="3:3">
      <c r="C1472" t="s">
        <v>2089</v>
      </c>
    </row>
    <row r="1473" spans="3:3">
      <c r="C1473" t="s">
        <v>419</v>
      </c>
    </row>
    <row r="1474" spans="3:3">
      <c r="C1474" t="s">
        <v>393</v>
      </c>
    </row>
    <row r="1475" spans="3:3">
      <c r="C1475" t="s">
        <v>47</v>
      </c>
    </row>
    <row r="1476" spans="3:3">
      <c r="C1476" t="s">
        <v>48</v>
      </c>
    </row>
    <row r="1477" spans="3:3">
      <c r="C1477" t="s">
        <v>77</v>
      </c>
    </row>
    <row r="1478" spans="3:3">
      <c r="C1478" t="s">
        <v>2090</v>
      </c>
    </row>
    <row r="1479" spans="3:3">
      <c r="C1479" t="s">
        <v>221</v>
      </c>
    </row>
    <row r="1480" spans="3:3">
      <c r="C1480" t="s">
        <v>746</v>
      </c>
    </row>
    <row r="1481" spans="3:3">
      <c r="C1481" t="s">
        <v>2091</v>
      </c>
    </row>
    <row r="1482" spans="3:3">
      <c r="C1482" t="s">
        <v>29</v>
      </c>
    </row>
    <row r="1483" spans="3:3">
      <c r="C1483" t="s">
        <v>57</v>
      </c>
    </row>
    <row r="1484" spans="3:3">
      <c r="C1484" t="s">
        <v>2092</v>
      </c>
    </row>
    <row r="1485" spans="3:3">
      <c r="C1485" t="s">
        <v>1068</v>
      </c>
    </row>
    <row r="1486" spans="3:3">
      <c r="C1486" t="s">
        <v>1069</v>
      </c>
    </row>
    <row r="1487" spans="3:3">
      <c r="C1487" t="s">
        <v>78</v>
      </c>
    </row>
    <row r="1488" spans="3:3">
      <c r="C1488" t="s">
        <v>10</v>
      </c>
    </row>
    <row r="1489" spans="3:3">
      <c r="C1489" t="s">
        <v>331</v>
      </c>
    </row>
    <row r="1490" spans="3:3">
      <c r="C1490" t="s">
        <v>2093</v>
      </c>
    </row>
    <row r="1491" spans="3:3">
      <c r="C1491" t="s">
        <v>2094</v>
      </c>
    </row>
    <row r="1492" spans="3:3">
      <c r="C1492" t="s">
        <v>2095</v>
      </c>
    </row>
    <row r="1493" spans="3:3">
      <c r="C1493" t="s">
        <v>2096</v>
      </c>
    </row>
    <row r="1494" spans="3:3">
      <c r="C1494" t="s">
        <v>83</v>
      </c>
    </row>
    <row r="1495" spans="3:3">
      <c r="C1495" t="s">
        <v>2097</v>
      </c>
    </row>
    <row r="1496" spans="3:3">
      <c r="C1496" t="s">
        <v>2098</v>
      </c>
    </row>
    <row r="1497" spans="3:3">
      <c r="C1497" t="s">
        <v>2093</v>
      </c>
    </row>
    <row r="1498" spans="3:3">
      <c r="C1498" t="s">
        <v>2099</v>
      </c>
    </row>
    <row r="1499" spans="3:3">
      <c r="C1499" t="s">
        <v>2095</v>
      </c>
    </row>
    <row r="1500" spans="3:3">
      <c r="C1500" t="s">
        <v>2100</v>
      </c>
    </row>
    <row r="1501" spans="3:3">
      <c r="C1501" t="s">
        <v>83</v>
      </c>
    </row>
    <row r="1502" spans="3:3">
      <c r="C1502" t="s">
        <v>2101</v>
      </c>
    </row>
    <row r="1503" spans="3:3">
      <c r="C1503" t="s">
        <v>421</v>
      </c>
    </row>
    <row r="1504" spans="3:3">
      <c r="C1504" t="s">
        <v>2102</v>
      </c>
    </row>
    <row r="1505" spans="3:3">
      <c r="C1505" t="s">
        <v>2103</v>
      </c>
    </row>
    <row r="1506" spans="3:3">
      <c r="C1506" t="s">
        <v>813</v>
      </c>
    </row>
    <row r="1507" spans="3:3">
      <c r="C1507" t="s">
        <v>814</v>
      </c>
    </row>
    <row r="1508" spans="3:3">
      <c r="C1508" t="s">
        <v>319</v>
      </c>
    </row>
    <row r="1509" spans="3:3">
      <c r="C1509" t="s">
        <v>320</v>
      </c>
    </row>
    <row r="1510" spans="3:3">
      <c r="C1510">
        <v>29</v>
      </c>
    </row>
    <row r="1511" spans="3:3">
      <c r="C1511" t="s">
        <v>829</v>
      </c>
    </row>
    <row r="1512" spans="3:3">
      <c r="C1512" t="s">
        <v>420</v>
      </c>
    </row>
    <row r="1513" spans="3:3">
      <c r="C1513" t="s">
        <v>393</v>
      </c>
    </row>
    <row r="1514" spans="3:3">
      <c r="C1514" t="s">
        <v>47</v>
      </c>
    </row>
    <row r="1515" spans="3:3">
      <c r="C1515" t="s">
        <v>48</v>
      </c>
    </row>
    <row r="1516" spans="3:3">
      <c r="C1516" t="s">
        <v>2104</v>
      </c>
    </row>
    <row r="1517" spans="3:3">
      <c r="C1517" t="s">
        <v>1072</v>
      </c>
    </row>
    <row r="1518" spans="3:3">
      <c r="C1518" t="s">
        <v>1070</v>
      </c>
    </row>
    <row r="1519" spans="3:3">
      <c r="C1519" t="s">
        <v>2105</v>
      </c>
    </row>
    <row r="1520" spans="3:3">
      <c r="C1520" t="s">
        <v>2106</v>
      </c>
    </row>
    <row r="1521" spans="3:3">
      <c r="C1521" t="s">
        <v>1071</v>
      </c>
    </row>
    <row r="1522" spans="3:3">
      <c r="C1522" t="s">
        <v>2107</v>
      </c>
    </row>
    <row r="1523" spans="3:3">
      <c r="C1523" t="s">
        <v>2108</v>
      </c>
    </row>
    <row r="1524" spans="3:3">
      <c r="C1524" t="s">
        <v>2109</v>
      </c>
    </row>
    <row r="1525" spans="3:3">
      <c r="C1525" t="s">
        <v>331</v>
      </c>
    </row>
    <row r="1526" spans="3:3">
      <c r="C1526" t="s">
        <v>2102</v>
      </c>
    </row>
    <row r="1527" spans="3:3">
      <c r="C1527" t="s">
        <v>2110</v>
      </c>
    </row>
    <row r="1528" spans="3:3">
      <c r="C1528" t="s">
        <v>1075</v>
      </c>
    </row>
    <row r="1529" spans="3:3">
      <c r="C1529" t="s">
        <v>2111</v>
      </c>
    </row>
    <row r="1530" spans="3:3">
      <c r="C1530" t="s">
        <v>2112</v>
      </c>
    </row>
    <row r="1531" spans="3:3">
      <c r="C1531" t="s">
        <v>813</v>
      </c>
    </row>
    <row r="1532" spans="3:3">
      <c r="C1532" t="s">
        <v>814</v>
      </c>
    </row>
    <row r="1533" spans="3:3">
      <c r="C1533" t="s">
        <v>319</v>
      </c>
    </row>
    <row r="1534" spans="3:3">
      <c r="C1534" t="s">
        <v>320</v>
      </c>
    </row>
    <row r="1535" spans="3:3">
      <c r="C1535">
        <v>30</v>
      </c>
    </row>
    <row r="1536" spans="3:3">
      <c r="C1536" t="s">
        <v>829</v>
      </c>
    </row>
    <row r="1537" spans="3:3">
      <c r="C1537" t="s">
        <v>2113</v>
      </c>
    </row>
    <row r="1538" spans="3:3">
      <c r="C1538" t="s">
        <v>813</v>
      </c>
    </row>
    <row r="1539" spans="3:3">
      <c r="C1539" t="s">
        <v>814</v>
      </c>
    </row>
    <row r="1540" spans="3:3">
      <c r="C1540" t="s">
        <v>319</v>
      </c>
    </row>
    <row r="1541" spans="3:3">
      <c r="C1541" t="s">
        <v>320</v>
      </c>
    </row>
    <row r="1542" spans="3:3">
      <c r="C1542">
        <v>31</v>
      </c>
    </row>
    <row r="1543" spans="3:3">
      <c r="C1543" t="s">
        <v>829</v>
      </c>
    </row>
    <row r="1544" spans="3:3">
      <c r="C1544" t="s">
        <v>1077</v>
      </c>
    </row>
    <row r="1545" spans="3:3">
      <c r="C1545" t="s">
        <v>423</v>
      </c>
    </row>
    <row r="1546" spans="3:3">
      <c r="C1546" t="s">
        <v>1078</v>
      </c>
    </row>
    <row r="1547" spans="3:3">
      <c r="C1547" t="s">
        <v>1079</v>
      </c>
    </row>
    <row r="1548" spans="3:3">
      <c r="C1548" t="s">
        <v>347</v>
      </c>
    </row>
    <row r="1549" spans="3:3">
      <c r="C1549" t="s">
        <v>1080</v>
      </c>
    </row>
    <row r="1550" spans="3:3">
      <c r="C1550" t="s">
        <v>1081</v>
      </c>
    </row>
    <row r="1551" spans="3:3">
      <c r="C1551" t="s">
        <v>1082</v>
      </c>
    </row>
    <row r="1552" spans="3:3">
      <c r="C1552" t="s">
        <v>1083</v>
      </c>
    </row>
    <row r="1553" spans="3:3">
      <c r="C1553" t="s">
        <v>1084</v>
      </c>
    </row>
    <row r="1554" spans="3:3">
      <c r="C1554" t="s">
        <v>1085</v>
      </c>
    </row>
    <row r="1555" spans="3:3">
      <c r="C1555" t="s">
        <v>1086</v>
      </c>
    </row>
    <row r="1556" spans="3:3">
      <c r="C1556" t="s">
        <v>1087</v>
      </c>
    </row>
    <row r="1557" spans="3:3">
      <c r="C1557" t="s">
        <v>1088</v>
      </c>
    </row>
    <row r="1558" spans="3:3">
      <c r="C1558" t="s">
        <v>1089</v>
      </c>
    </row>
    <row r="1559" spans="3:3">
      <c r="C1559" t="s">
        <v>1090</v>
      </c>
    </row>
    <row r="1560" spans="3:3">
      <c r="C1560" t="s">
        <v>415</v>
      </c>
    </row>
    <row r="1561" spans="3:3">
      <c r="C1561" t="s">
        <v>422</v>
      </c>
    </row>
    <row r="1562" spans="3:3">
      <c r="C1562" t="s">
        <v>716</v>
      </c>
    </row>
    <row r="1563" spans="3:3">
      <c r="C1563" t="s">
        <v>1091</v>
      </c>
    </row>
    <row r="1564" spans="3:3">
      <c r="C1564" t="s">
        <v>1092</v>
      </c>
    </row>
    <row r="1565" spans="3:3">
      <c r="C1565" t="s">
        <v>717</v>
      </c>
    </row>
    <row r="1566" spans="3:3">
      <c r="C1566" t="s">
        <v>1093</v>
      </c>
    </row>
    <row r="1567" spans="3:3">
      <c r="C1567" t="s">
        <v>2114</v>
      </c>
    </row>
    <row r="1568" spans="3:3">
      <c r="C1568" t="s">
        <v>813</v>
      </c>
    </row>
    <row r="1569" spans="3:3">
      <c r="C1569" t="s">
        <v>814</v>
      </c>
    </row>
    <row r="1570" spans="3:3">
      <c r="C1570" t="s">
        <v>319</v>
      </c>
    </row>
    <row r="1571" spans="3:3">
      <c r="C1571" t="s">
        <v>320</v>
      </c>
    </row>
    <row r="1572" spans="3:3">
      <c r="C1572">
        <v>32</v>
      </c>
    </row>
    <row r="1573" spans="3:3">
      <c r="C1573" t="s">
        <v>829</v>
      </c>
    </row>
    <row r="1574" spans="3:3">
      <c r="C1574" t="s">
        <v>423</v>
      </c>
    </row>
    <row r="1575" spans="3:3">
      <c r="C1575" t="s">
        <v>1704</v>
      </c>
    </row>
    <row r="1576" spans="3:3">
      <c r="C1576" t="s">
        <v>10</v>
      </c>
    </row>
    <row r="1577" spans="3:3">
      <c r="C1577" t="s">
        <v>344</v>
      </c>
    </row>
    <row r="1578" spans="3:3">
      <c r="C1578" t="s">
        <v>2115</v>
      </c>
    </row>
    <row r="1579" spans="3:3">
      <c r="C1579" t="s">
        <v>347</v>
      </c>
    </row>
    <row r="1580" spans="3:3">
      <c r="C1580" t="s">
        <v>2116</v>
      </c>
    </row>
    <row r="1581" spans="3:3">
      <c r="C1581" t="s">
        <v>2117</v>
      </c>
    </row>
    <row r="1582" spans="3:3">
      <c r="C1582" t="s">
        <v>84</v>
      </c>
    </row>
    <row r="1583" spans="3:3">
      <c r="C1583" t="s">
        <v>2118</v>
      </c>
    </row>
    <row r="1584" spans="3:3">
      <c r="C1584" t="s">
        <v>425</v>
      </c>
    </row>
    <row r="1585" spans="3:3">
      <c r="C1585" t="s">
        <v>2119</v>
      </c>
    </row>
    <row r="1586" spans="3:3">
      <c r="C1586" t="s">
        <v>1097</v>
      </c>
    </row>
    <row r="1587" spans="3:3">
      <c r="C1587" t="s">
        <v>78</v>
      </c>
    </row>
    <row r="1588" spans="3:3">
      <c r="C1588" t="s">
        <v>10</v>
      </c>
    </row>
    <row r="1589" spans="3:3">
      <c r="C1589" t="s">
        <v>2120</v>
      </c>
    </row>
    <row r="1590" spans="3:3">
      <c r="C1590" t="s">
        <v>2121</v>
      </c>
    </row>
    <row r="1591" spans="3:3">
      <c r="C1591" t="s">
        <v>85</v>
      </c>
    </row>
    <row r="1592" spans="3:3">
      <c r="C1592" t="s">
        <v>2122</v>
      </c>
    </row>
    <row r="1593" spans="3:3">
      <c r="C1593" t="s">
        <v>2123</v>
      </c>
    </row>
    <row r="1594" spans="3:3">
      <c r="C1594" t="s">
        <v>2124</v>
      </c>
    </row>
    <row r="1595" spans="3:3">
      <c r="C1595" t="s">
        <v>2125</v>
      </c>
    </row>
    <row r="1596" spans="3:3">
      <c r="C1596" t="s">
        <v>426</v>
      </c>
    </row>
    <row r="1597" spans="3:3">
      <c r="C1597" t="s">
        <v>2126</v>
      </c>
    </row>
    <row r="1598" spans="3:3">
      <c r="C1598" t="s">
        <v>2127</v>
      </c>
    </row>
    <row r="1599" spans="3:3">
      <c r="C1599" t="s">
        <v>2128</v>
      </c>
    </row>
    <row r="1600" spans="3:3">
      <c r="C1600" t="s">
        <v>2129</v>
      </c>
    </row>
    <row r="1601" spans="3:3">
      <c r="C1601" t="s">
        <v>2130</v>
      </c>
    </row>
    <row r="1602" spans="3:3">
      <c r="C1602" t="s">
        <v>2131</v>
      </c>
    </row>
    <row r="1603" spans="3:3">
      <c r="C1603" t="s">
        <v>813</v>
      </c>
    </row>
    <row r="1604" spans="3:3">
      <c r="C1604" t="s">
        <v>814</v>
      </c>
    </row>
    <row r="1605" spans="3:3">
      <c r="C1605" t="s">
        <v>319</v>
      </c>
    </row>
    <row r="1606" spans="3:3">
      <c r="C1606" t="s">
        <v>320</v>
      </c>
    </row>
    <row r="1607" spans="3:3">
      <c r="C1607">
        <v>33</v>
      </c>
    </row>
    <row r="1608" spans="3:3">
      <c r="C1608" t="s">
        <v>829</v>
      </c>
    </row>
    <row r="1609" spans="3:3">
      <c r="C1609" t="s">
        <v>1099</v>
      </c>
    </row>
    <row r="1610" spans="3:3">
      <c r="C1610" t="s">
        <v>78</v>
      </c>
    </row>
    <row r="1611" spans="3:3">
      <c r="C1611" t="s">
        <v>10</v>
      </c>
    </row>
    <row r="1612" spans="3:3">
      <c r="C1612" t="s">
        <v>2132</v>
      </c>
    </row>
    <row r="1613" spans="3:3">
      <c r="C1613" t="s">
        <v>2133</v>
      </c>
    </row>
    <row r="1614" spans="3:3">
      <c r="C1614" t="s">
        <v>2134</v>
      </c>
    </row>
    <row r="1615" spans="3:3">
      <c r="C1615" t="s">
        <v>2135</v>
      </c>
    </row>
    <row r="1616" spans="3:3">
      <c r="C1616" t="s">
        <v>2136</v>
      </c>
    </row>
    <row r="1617" spans="3:3">
      <c r="C1617" t="s">
        <v>1020</v>
      </c>
    </row>
    <row r="1618" spans="3:3">
      <c r="C1618" t="s">
        <v>427</v>
      </c>
    </row>
    <row r="1619" spans="3:3">
      <c r="C1619" t="s">
        <v>78</v>
      </c>
    </row>
    <row r="1620" spans="3:3">
      <c r="C1620" t="s">
        <v>10</v>
      </c>
    </row>
    <row r="1621" spans="3:3">
      <c r="C1621" t="s">
        <v>2137</v>
      </c>
    </row>
    <row r="1622" spans="3:3">
      <c r="C1622" t="s">
        <v>2138</v>
      </c>
    </row>
    <row r="1623" spans="3:3">
      <c r="C1623" t="s">
        <v>2139</v>
      </c>
    </row>
    <row r="1624" spans="3:3">
      <c r="C1624" t="s">
        <v>2140</v>
      </c>
    </row>
    <row r="1625" spans="3:3">
      <c r="C1625" t="s">
        <v>2141</v>
      </c>
    </row>
    <row r="1626" spans="3:3">
      <c r="C1626" t="s">
        <v>2</v>
      </c>
    </row>
    <row r="1627" spans="3:3">
      <c r="C1627" t="s">
        <v>1101</v>
      </c>
    </row>
    <row r="1628" spans="3:3">
      <c r="C1628" t="s">
        <v>1102</v>
      </c>
    </row>
    <row r="1629" spans="3:3">
      <c r="C1629" t="s">
        <v>90</v>
      </c>
    </row>
    <row r="1630" spans="3:3">
      <c r="C1630" t="s">
        <v>91</v>
      </c>
    </row>
    <row r="1631" spans="3:3">
      <c r="C1631" t="s">
        <v>92</v>
      </c>
    </row>
    <row r="1632" spans="3:3">
      <c r="C1632" t="s">
        <v>428</v>
      </c>
    </row>
    <row r="1633" spans="3:3">
      <c r="C1633" t="s">
        <v>2142</v>
      </c>
    </row>
    <row r="1634" spans="3:3">
      <c r="C1634" t="s">
        <v>2143</v>
      </c>
    </row>
    <row r="1635" spans="3:3">
      <c r="C1635" t="s">
        <v>1103</v>
      </c>
    </row>
    <row r="1636" spans="3:3">
      <c r="C1636" t="s">
        <v>2144</v>
      </c>
    </row>
    <row r="1637" spans="3:3">
      <c r="C1637" t="s">
        <v>82</v>
      </c>
    </row>
    <row r="1638" spans="3:3">
      <c r="C1638" t="s">
        <v>1104</v>
      </c>
    </row>
    <row r="1639" spans="3:3">
      <c r="C1639" t="s">
        <v>2</v>
      </c>
    </row>
    <row r="1640" spans="3:3">
      <c r="C1640" t="s">
        <v>93</v>
      </c>
    </row>
    <row r="1641" spans="3:3">
      <c r="C1641" t="s">
        <v>429</v>
      </c>
    </row>
    <row r="1642" spans="3:3">
      <c r="C1642" t="s">
        <v>94</v>
      </c>
    </row>
    <row r="1643" spans="3:3">
      <c r="C1643" t="s">
        <v>430</v>
      </c>
    </row>
    <row r="1644" spans="3:3">
      <c r="C1644" t="s">
        <v>431</v>
      </c>
    </row>
    <row r="1645" spans="3:3">
      <c r="C1645" t="s">
        <v>95</v>
      </c>
    </row>
    <row r="1646" spans="3:3">
      <c r="C1646" t="s">
        <v>96</v>
      </c>
    </row>
    <row r="1647" spans="3:3">
      <c r="C1647" t="s">
        <v>97</v>
      </c>
    </row>
    <row r="1648" spans="3:3">
      <c r="C1648" t="s">
        <v>2145</v>
      </c>
    </row>
    <row r="1649" spans="3:3">
      <c r="C1649" t="s">
        <v>432</v>
      </c>
    </row>
    <row r="1650" spans="3:3">
      <c r="C1650" t="s">
        <v>98</v>
      </c>
    </row>
    <row r="1651" spans="3:3">
      <c r="C1651" t="s">
        <v>430</v>
      </c>
    </row>
    <row r="1652" spans="3:3">
      <c r="C1652" t="s">
        <v>431</v>
      </c>
    </row>
    <row r="1653" spans="3:3">
      <c r="C1653" t="s">
        <v>95</v>
      </c>
    </row>
    <row r="1654" spans="3:3">
      <c r="C1654" t="s">
        <v>96</v>
      </c>
    </row>
    <row r="1655" spans="3:3">
      <c r="C1655" t="s">
        <v>97</v>
      </c>
    </row>
    <row r="1656" spans="3:3">
      <c r="C1656" t="s">
        <v>1035</v>
      </c>
    </row>
    <row r="1657" spans="3:3">
      <c r="C1657" t="s">
        <v>99</v>
      </c>
    </row>
    <row r="1658" spans="3:3">
      <c r="C1658" t="s">
        <v>2146</v>
      </c>
    </row>
    <row r="1659" spans="3:3">
      <c r="C1659" t="s">
        <v>100</v>
      </c>
    </row>
    <row r="1660" spans="3:3">
      <c r="C1660" t="s">
        <v>101</v>
      </c>
    </row>
    <row r="1661" spans="3:3">
      <c r="C1661" t="s">
        <v>102</v>
      </c>
    </row>
    <row r="1662" spans="3:3">
      <c r="C1662" t="s">
        <v>433</v>
      </c>
    </row>
    <row r="1663" spans="3:3">
      <c r="C1663" t="s">
        <v>103</v>
      </c>
    </row>
    <row r="1664" spans="3:3">
      <c r="C1664" t="s">
        <v>2147</v>
      </c>
    </row>
    <row r="1665" spans="3:3">
      <c r="C1665" t="s">
        <v>2148</v>
      </c>
    </row>
    <row r="1666" spans="3:3">
      <c r="C1666" t="s">
        <v>2149</v>
      </c>
    </row>
    <row r="1667" spans="3:3">
      <c r="C1667" t="s">
        <v>2</v>
      </c>
    </row>
    <row r="1668" spans="3:3">
      <c r="C1668" t="s">
        <v>434</v>
      </c>
    </row>
    <row r="1669" spans="3:3">
      <c r="C1669" t="s">
        <v>103</v>
      </c>
    </row>
    <row r="1670" spans="3:3">
      <c r="C1670" t="s">
        <v>104</v>
      </c>
    </row>
    <row r="1671" spans="3:3">
      <c r="C1671" t="s">
        <v>105</v>
      </c>
    </row>
    <row r="1672" spans="3:3">
      <c r="C1672" t="s">
        <v>2150</v>
      </c>
    </row>
    <row r="1673" spans="3:3">
      <c r="C1673" t="s">
        <v>2151</v>
      </c>
    </row>
    <row r="1674" spans="3:3">
      <c r="C1674" t="s">
        <v>435</v>
      </c>
    </row>
    <row r="1675" spans="3:3">
      <c r="C1675" t="s">
        <v>103</v>
      </c>
    </row>
    <row r="1676" spans="3:3">
      <c r="C1676" t="s">
        <v>104</v>
      </c>
    </row>
    <row r="1677" spans="3:3">
      <c r="C1677" t="s">
        <v>106</v>
      </c>
    </row>
    <row r="1678" spans="3:3">
      <c r="C1678" t="s">
        <v>2152</v>
      </c>
    </row>
    <row r="1679" spans="3:3">
      <c r="C1679" t="s">
        <v>2153</v>
      </c>
    </row>
    <row r="1680" spans="3:3">
      <c r="C1680" t="s">
        <v>107</v>
      </c>
    </row>
    <row r="1681" spans="3:3">
      <c r="C1681" t="s">
        <v>103</v>
      </c>
    </row>
    <row r="1682" spans="3:3">
      <c r="C1682" t="s">
        <v>104</v>
      </c>
    </row>
    <row r="1683" spans="3:3">
      <c r="C1683" t="s">
        <v>105</v>
      </c>
    </row>
    <row r="1684" spans="3:3">
      <c r="C1684" t="s">
        <v>2154</v>
      </c>
    </row>
    <row r="1685" spans="3:3">
      <c r="C1685" t="s">
        <v>2155</v>
      </c>
    </row>
    <row r="1686" spans="3:3">
      <c r="C1686" t="s">
        <v>813</v>
      </c>
    </row>
    <row r="1687" spans="3:3">
      <c r="C1687" t="s">
        <v>814</v>
      </c>
    </row>
    <row r="1688" spans="3:3">
      <c r="C1688" t="s">
        <v>319</v>
      </c>
    </row>
    <row r="1689" spans="3:3">
      <c r="C1689" t="s">
        <v>320</v>
      </c>
    </row>
    <row r="1690" spans="3:3">
      <c r="C1690">
        <v>34</v>
      </c>
    </row>
    <row r="1691" spans="3:3">
      <c r="C1691" t="s">
        <v>829</v>
      </c>
    </row>
    <row r="1692" spans="3:3">
      <c r="C1692" t="s">
        <v>1102</v>
      </c>
    </row>
    <row r="1693" spans="3:3">
      <c r="C1693" t="s">
        <v>90</v>
      </c>
    </row>
    <row r="1694" spans="3:3">
      <c r="C1694" t="s">
        <v>91</v>
      </c>
    </row>
    <row r="1695" spans="3:3">
      <c r="C1695" t="s">
        <v>92</v>
      </c>
    </row>
    <row r="1696" spans="3:3">
      <c r="C1696" t="s">
        <v>428</v>
      </c>
    </row>
    <row r="1697" spans="3:3">
      <c r="C1697" t="s">
        <v>2142</v>
      </c>
    </row>
    <row r="1698" spans="3:3">
      <c r="C1698" t="s">
        <v>2143</v>
      </c>
    </row>
    <row r="1699" spans="3:3">
      <c r="C1699" t="s">
        <v>2156</v>
      </c>
    </row>
    <row r="1700" spans="3:3">
      <c r="C1700" t="s">
        <v>103</v>
      </c>
    </row>
    <row r="1701" spans="3:3">
      <c r="C1701" t="s">
        <v>104</v>
      </c>
    </row>
    <row r="1702" spans="3:3">
      <c r="C1702" t="s">
        <v>106</v>
      </c>
    </row>
    <row r="1703" spans="3:3">
      <c r="C1703" t="s">
        <v>2157</v>
      </c>
    </row>
    <row r="1704" spans="3:3">
      <c r="C1704" t="s">
        <v>2</v>
      </c>
    </row>
    <row r="1705" spans="3:3">
      <c r="C1705" t="s">
        <v>2158</v>
      </c>
    </row>
    <row r="1706" spans="3:3">
      <c r="C1706" t="s">
        <v>103</v>
      </c>
    </row>
    <row r="1707" spans="3:3">
      <c r="C1707" t="s">
        <v>104</v>
      </c>
    </row>
    <row r="1708" spans="3:3">
      <c r="C1708" t="s">
        <v>2159</v>
      </c>
    </row>
    <row r="1709" spans="3:3">
      <c r="C1709" t="s">
        <v>2160</v>
      </c>
    </row>
    <row r="1710" spans="3:3">
      <c r="C1710" t="s">
        <v>2</v>
      </c>
    </row>
    <row r="1711" spans="3:3">
      <c r="C1711" t="s">
        <v>2161</v>
      </c>
    </row>
    <row r="1712" spans="3:3">
      <c r="C1712" t="s">
        <v>103</v>
      </c>
    </row>
    <row r="1713" spans="3:3">
      <c r="C1713" t="s">
        <v>104</v>
      </c>
    </row>
    <row r="1714" spans="3:3">
      <c r="C1714" t="s">
        <v>2159</v>
      </c>
    </row>
    <row r="1715" spans="3:3">
      <c r="C1715" t="s">
        <v>2162</v>
      </c>
    </row>
    <row r="1716" spans="3:3">
      <c r="C1716" t="s">
        <v>2</v>
      </c>
    </row>
    <row r="1717" spans="3:3">
      <c r="C1717" t="s">
        <v>2163</v>
      </c>
    </row>
    <row r="1718" spans="3:3">
      <c r="C1718" t="s">
        <v>103</v>
      </c>
    </row>
    <row r="1719" spans="3:3">
      <c r="C1719" t="s">
        <v>104</v>
      </c>
    </row>
    <row r="1720" spans="3:3">
      <c r="C1720" t="s">
        <v>2159</v>
      </c>
    </row>
    <row r="1721" spans="3:3">
      <c r="C1721" t="s">
        <v>2162</v>
      </c>
    </row>
    <row r="1722" spans="3:3">
      <c r="C1722" t="s">
        <v>2</v>
      </c>
    </row>
    <row r="1723" spans="3:3">
      <c r="C1723" t="s">
        <v>436</v>
      </c>
    </row>
    <row r="1724" spans="3:3">
      <c r="C1724" t="s">
        <v>108</v>
      </c>
    </row>
    <row r="1725" spans="3:3">
      <c r="C1725" t="s">
        <v>109</v>
      </c>
    </row>
    <row r="1726" spans="3:3">
      <c r="C1726" t="s">
        <v>437</v>
      </c>
    </row>
    <row r="1727" spans="3:3">
      <c r="C1727" t="s">
        <v>110</v>
      </c>
    </row>
    <row r="1728" spans="3:3">
      <c r="C1728" t="s">
        <v>438</v>
      </c>
    </row>
    <row r="1729" spans="3:3">
      <c r="C1729" t="s">
        <v>103</v>
      </c>
    </row>
    <row r="1730" spans="3:3">
      <c r="C1730" t="s">
        <v>111</v>
      </c>
    </row>
    <row r="1731" spans="3:3">
      <c r="C1731" t="s">
        <v>112</v>
      </c>
    </row>
    <row r="1732" spans="3:3">
      <c r="C1732" t="s">
        <v>2164</v>
      </c>
    </row>
    <row r="1733" spans="3:3">
      <c r="C1733" t="s">
        <v>57</v>
      </c>
    </row>
    <row r="1734" spans="3:3">
      <c r="C1734" t="s">
        <v>437</v>
      </c>
    </row>
    <row r="1735" spans="3:3">
      <c r="C1735" t="s">
        <v>113</v>
      </c>
    </row>
    <row r="1736" spans="3:3">
      <c r="C1736" t="s">
        <v>439</v>
      </c>
    </row>
    <row r="1737" spans="3:3">
      <c r="C1737" t="s">
        <v>103</v>
      </c>
    </row>
    <row r="1738" spans="3:3">
      <c r="C1738" t="s">
        <v>111</v>
      </c>
    </row>
    <row r="1739" spans="3:3">
      <c r="C1739" t="s">
        <v>114</v>
      </c>
    </row>
    <row r="1740" spans="3:3">
      <c r="C1740" t="s">
        <v>2165</v>
      </c>
    </row>
    <row r="1741" spans="3:3">
      <c r="C1741" t="s">
        <v>2166</v>
      </c>
    </row>
    <row r="1742" spans="3:3">
      <c r="C1742" t="s">
        <v>437</v>
      </c>
    </row>
    <row r="1743" spans="3:3">
      <c r="C1743" t="s">
        <v>115</v>
      </c>
    </row>
    <row r="1744" spans="3:3">
      <c r="C1744" t="s">
        <v>2167</v>
      </c>
    </row>
    <row r="1745" spans="3:3">
      <c r="C1745" t="s">
        <v>103</v>
      </c>
    </row>
    <row r="1746" spans="3:3">
      <c r="C1746" t="s">
        <v>116</v>
      </c>
    </row>
    <row r="1747" spans="3:3">
      <c r="C1747" t="s">
        <v>440</v>
      </c>
    </row>
    <row r="1748" spans="3:3">
      <c r="C1748" t="s">
        <v>2168</v>
      </c>
    </row>
    <row r="1749" spans="3:3">
      <c r="C1749" t="s">
        <v>2169</v>
      </c>
    </row>
    <row r="1750" spans="3:3">
      <c r="C1750" t="s">
        <v>437</v>
      </c>
    </row>
    <row r="1751" spans="3:3">
      <c r="C1751" t="s">
        <v>2170</v>
      </c>
    </row>
    <row r="1752" spans="3:3">
      <c r="C1752" t="s">
        <v>2171</v>
      </c>
    </row>
    <row r="1753" spans="3:3">
      <c r="C1753" t="s">
        <v>103</v>
      </c>
    </row>
    <row r="1754" spans="3:3">
      <c r="C1754" t="s">
        <v>2172</v>
      </c>
    </row>
    <row r="1755" spans="3:3">
      <c r="C1755" t="s">
        <v>2173</v>
      </c>
    </row>
    <row r="1756" spans="3:3">
      <c r="C1756" t="s">
        <v>2164</v>
      </c>
    </row>
    <row r="1757" spans="3:3">
      <c r="C1757" t="s">
        <v>2</v>
      </c>
    </row>
    <row r="1758" spans="3:3">
      <c r="C1758" t="s">
        <v>437</v>
      </c>
    </row>
    <row r="1759" spans="3:3">
      <c r="C1759" t="s">
        <v>2174</v>
      </c>
    </row>
    <row r="1760" spans="3:3">
      <c r="C1760" t="s">
        <v>2175</v>
      </c>
    </row>
    <row r="1761" spans="3:3">
      <c r="C1761" t="s">
        <v>103</v>
      </c>
    </row>
    <row r="1762" spans="3:3">
      <c r="C1762" t="s">
        <v>2176</v>
      </c>
    </row>
    <row r="1763" spans="3:3">
      <c r="C1763" t="s">
        <v>2177</v>
      </c>
    </row>
    <row r="1764" spans="3:3">
      <c r="C1764" t="s">
        <v>2178</v>
      </c>
    </row>
    <row r="1765" spans="3:3">
      <c r="C1765" t="s">
        <v>2</v>
      </c>
    </row>
    <row r="1766" spans="3:3">
      <c r="C1766" t="s">
        <v>437</v>
      </c>
    </row>
    <row r="1767" spans="3:3">
      <c r="C1767" t="s">
        <v>2174</v>
      </c>
    </row>
    <row r="1768" spans="3:3">
      <c r="C1768" t="s">
        <v>2179</v>
      </c>
    </row>
    <row r="1769" spans="3:3">
      <c r="C1769" t="s">
        <v>103</v>
      </c>
    </row>
    <row r="1770" spans="3:3">
      <c r="C1770" t="s">
        <v>2180</v>
      </c>
    </row>
    <row r="1771" spans="3:3">
      <c r="C1771" t="s">
        <v>2181</v>
      </c>
    </row>
    <row r="1772" spans="3:3">
      <c r="C1772" t="s">
        <v>2182</v>
      </c>
    </row>
    <row r="1773" spans="3:3">
      <c r="C1773" t="s">
        <v>2</v>
      </c>
    </row>
    <row r="1774" spans="3:3">
      <c r="C1774" t="s">
        <v>813</v>
      </c>
    </row>
    <row r="1775" spans="3:3">
      <c r="C1775" t="s">
        <v>814</v>
      </c>
    </row>
    <row r="1776" spans="3:3">
      <c r="C1776" t="s">
        <v>319</v>
      </c>
    </row>
    <row r="1777" spans="3:3">
      <c r="C1777" t="s">
        <v>320</v>
      </c>
    </row>
    <row r="1778" spans="3:3">
      <c r="C1778">
        <v>35</v>
      </c>
    </row>
    <row r="1779" spans="3:3">
      <c r="C1779" t="s">
        <v>829</v>
      </c>
    </row>
    <row r="1780" spans="3:3">
      <c r="C1780" t="s">
        <v>1102</v>
      </c>
    </row>
    <row r="1781" spans="3:3">
      <c r="C1781" t="s">
        <v>90</v>
      </c>
    </row>
    <row r="1782" spans="3:3">
      <c r="C1782" t="s">
        <v>91</v>
      </c>
    </row>
    <row r="1783" spans="3:3">
      <c r="C1783" t="s">
        <v>92</v>
      </c>
    </row>
    <row r="1784" spans="3:3">
      <c r="C1784" t="s">
        <v>428</v>
      </c>
    </row>
    <row r="1785" spans="3:3">
      <c r="C1785" t="s">
        <v>2142</v>
      </c>
    </row>
    <row r="1786" spans="3:3">
      <c r="C1786" t="s">
        <v>2143</v>
      </c>
    </row>
    <row r="1787" spans="3:3">
      <c r="C1787" t="s">
        <v>1105</v>
      </c>
    </row>
    <row r="1788" spans="3:3">
      <c r="C1788" t="s">
        <v>2183</v>
      </c>
    </row>
    <row r="1789" spans="3:3">
      <c r="C1789" t="s">
        <v>1106</v>
      </c>
    </row>
    <row r="1790" spans="3:3">
      <c r="C1790" t="s">
        <v>437</v>
      </c>
    </row>
    <row r="1791" spans="3:3">
      <c r="C1791" t="s">
        <v>1107</v>
      </c>
    </row>
    <row r="1792" spans="3:3">
      <c r="C1792" t="s">
        <v>1108</v>
      </c>
    </row>
    <row r="1793" spans="3:3">
      <c r="C1793" t="s">
        <v>103</v>
      </c>
    </row>
    <row r="1794" spans="3:3">
      <c r="C1794" t="s">
        <v>111</v>
      </c>
    </row>
    <row r="1795" spans="3:3">
      <c r="C1795" t="s">
        <v>2184</v>
      </c>
    </row>
    <row r="1796" spans="3:3">
      <c r="C1796" t="s">
        <v>2185</v>
      </c>
    </row>
    <row r="1797" spans="3:3">
      <c r="C1797" t="s">
        <v>2186</v>
      </c>
    </row>
    <row r="1798" spans="3:3">
      <c r="C1798" t="s">
        <v>2187</v>
      </c>
    </row>
    <row r="1799" spans="3:3">
      <c r="C1799" t="s">
        <v>1109</v>
      </c>
    </row>
    <row r="1800" spans="3:3">
      <c r="C1800" t="s">
        <v>1110</v>
      </c>
    </row>
    <row r="1801" spans="3:3">
      <c r="C1801" t="s">
        <v>431</v>
      </c>
    </row>
    <row r="1802" spans="3:3">
      <c r="C1802" t="s">
        <v>111</v>
      </c>
    </row>
    <row r="1803" spans="3:3">
      <c r="C1803" t="s">
        <v>1111</v>
      </c>
    </row>
    <row r="1804" spans="3:3">
      <c r="C1804" t="s">
        <v>2188</v>
      </c>
    </row>
    <row r="1805" spans="3:3">
      <c r="C1805" t="s">
        <v>2189</v>
      </c>
    </row>
    <row r="1806" spans="3:3">
      <c r="C1806" t="s">
        <v>1112</v>
      </c>
    </row>
    <row r="1807" spans="3:3">
      <c r="C1807" t="s">
        <v>1113</v>
      </c>
    </row>
    <row r="1808" spans="3:3">
      <c r="C1808" t="s">
        <v>1114</v>
      </c>
    </row>
    <row r="1809" spans="3:3">
      <c r="C1809" t="s">
        <v>103</v>
      </c>
    </row>
    <row r="1810" spans="3:3">
      <c r="C1810" t="s">
        <v>1115</v>
      </c>
    </row>
    <row r="1811" spans="3:3">
      <c r="C1811" t="s">
        <v>106</v>
      </c>
    </row>
    <row r="1812" spans="3:3">
      <c r="C1812" t="s">
        <v>1116</v>
      </c>
    </row>
    <row r="1813" spans="3:3">
      <c r="C1813" t="s">
        <v>1117</v>
      </c>
    </row>
    <row r="1814" spans="3:3">
      <c r="C1814" t="s">
        <v>437</v>
      </c>
    </row>
    <row r="1815" spans="3:3">
      <c r="C1815" t="s">
        <v>1118</v>
      </c>
    </row>
    <row r="1816" spans="3:3">
      <c r="C1816" t="s">
        <v>1119</v>
      </c>
    </row>
    <row r="1817" spans="3:3">
      <c r="C1817" t="s">
        <v>103</v>
      </c>
    </row>
    <row r="1818" spans="3:3">
      <c r="C1818" t="s">
        <v>111</v>
      </c>
    </row>
    <row r="1819" spans="3:3">
      <c r="C1819" t="s">
        <v>1120</v>
      </c>
    </row>
    <row r="1820" spans="3:3">
      <c r="C1820" t="s">
        <v>2190</v>
      </c>
    </row>
    <row r="1821" spans="3:3">
      <c r="C1821" t="s">
        <v>2191</v>
      </c>
    </row>
    <row r="1822" spans="3:3">
      <c r="C1822" t="s">
        <v>1112</v>
      </c>
    </row>
    <row r="1823" spans="3:3">
      <c r="C1823" t="s">
        <v>1121</v>
      </c>
    </row>
    <row r="1824" spans="3:3">
      <c r="C1824" t="s">
        <v>1122</v>
      </c>
    </row>
    <row r="1825" spans="3:3">
      <c r="C1825" t="s">
        <v>103</v>
      </c>
    </row>
    <row r="1826" spans="3:3">
      <c r="C1826" t="s">
        <v>1123</v>
      </c>
    </row>
    <row r="1827" spans="3:3">
      <c r="C1827" t="s">
        <v>2159</v>
      </c>
    </row>
    <row r="1828" spans="3:3">
      <c r="C1828" t="s">
        <v>1124</v>
      </c>
    </row>
    <row r="1829" spans="3:3">
      <c r="C1829" t="s">
        <v>1125</v>
      </c>
    </row>
    <row r="1830" spans="3:3">
      <c r="C1830" t="s">
        <v>437</v>
      </c>
    </row>
    <row r="1831" spans="3:3">
      <c r="C1831" t="s">
        <v>1126</v>
      </c>
    </row>
    <row r="1832" spans="3:3">
      <c r="C1832" t="s">
        <v>1108</v>
      </c>
    </row>
    <row r="1833" spans="3:3">
      <c r="C1833" t="s">
        <v>103</v>
      </c>
    </row>
    <row r="1834" spans="3:3">
      <c r="C1834" t="s">
        <v>111</v>
      </c>
    </row>
    <row r="1835" spans="3:3">
      <c r="C1835" t="s">
        <v>2184</v>
      </c>
    </row>
    <row r="1836" spans="3:3">
      <c r="C1836" t="s">
        <v>2192</v>
      </c>
    </row>
    <row r="1837" spans="3:3">
      <c r="C1837" t="s">
        <v>2193</v>
      </c>
    </row>
    <row r="1838" spans="3:3">
      <c r="C1838" t="s">
        <v>437</v>
      </c>
    </row>
    <row r="1839" spans="3:3">
      <c r="C1839" t="s">
        <v>1127</v>
      </c>
    </row>
    <row r="1840" spans="3:3">
      <c r="C1840" t="s">
        <v>1110</v>
      </c>
    </row>
    <row r="1841" spans="3:3">
      <c r="C1841" t="s">
        <v>103</v>
      </c>
    </row>
    <row r="1842" spans="3:3">
      <c r="C1842" t="s">
        <v>111</v>
      </c>
    </row>
    <row r="1843" spans="3:3">
      <c r="C1843" t="s">
        <v>1111</v>
      </c>
    </row>
    <row r="1844" spans="3:3">
      <c r="C1844" t="s">
        <v>2194</v>
      </c>
    </row>
    <row r="1845" spans="3:3">
      <c r="C1845" t="s">
        <v>157</v>
      </c>
    </row>
    <row r="1846" spans="3:3">
      <c r="C1846" t="s">
        <v>83</v>
      </c>
    </row>
    <row r="1847" spans="3:3">
      <c r="C1847" t="s">
        <v>2195</v>
      </c>
    </row>
    <row r="1848" spans="3:3">
      <c r="C1848" t="s">
        <v>1128</v>
      </c>
    </row>
    <row r="1849" spans="3:3">
      <c r="C1849" t="s">
        <v>2196</v>
      </c>
    </row>
    <row r="1850" spans="3:3">
      <c r="C1850" t="s">
        <v>1129</v>
      </c>
    </row>
    <row r="1851" spans="3:3">
      <c r="C1851" t="s">
        <v>2197</v>
      </c>
    </row>
    <row r="1852" spans="3:3">
      <c r="C1852" t="s">
        <v>2198</v>
      </c>
    </row>
    <row r="1853" spans="3:3">
      <c r="C1853" t="s">
        <v>813</v>
      </c>
    </row>
    <row r="1854" spans="3:3">
      <c r="C1854" t="s">
        <v>814</v>
      </c>
    </row>
    <row r="1855" spans="3:3">
      <c r="C1855" t="s">
        <v>319</v>
      </c>
    </row>
    <row r="1856" spans="3:3">
      <c r="C1856" t="s">
        <v>320</v>
      </c>
    </row>
    <row r="1857" spans="3:3">
      <c r="C1857">
        <v>36</v>
      </c>
    </row>
    <row r="1858" spans="3:3">
      <c r="C1858" t="s">
        <v>829</v>
      </c>
    </row>
    <row r="1859" spans="3:3">
      <c r="C1859" t="s">
        <v>117</v>
      </c>
    </row>
    <row r="1860" spans="3:3">
      <c r="C1860" t="s">
        <v>441</v>
      </c>
    </row>
    <row r="1861" spans="3:3">
      <c r="C1861" t="s">
        <v>442</v>
      </c>
    </row>
    <row r="1862" spans="3:3">
      <c r="C1862" t="s">
        <v>2199</v>
      </c>
    </row>
    <row r="1863" spans="3:3">
      <c r="C1863" t="s">
        <v>2200</v>
      </c>
    </row>
    <row r="1864" spans="3:3">
      <c r="C1864" t="s">
        <v>1130</v>
      </c>
    </row>
    <row r="1865" spans="3:3">
      <c r="C1865" t="s">
        <v>1131</v>
      </c>
    </row>
    <row r="1866" spans="3:3">
      <c r="C1866" t="s">
        <v>1132</v>
      </c>
    </row>
    <row r="1867" spans="3:3">
      <c r="C1867" t="s">
        <v>2201</v>
      </c>
    </row>
    <row r="1868" spans="3:3">
      <c r="C1868" t="s">
        <v>2202</v>
      </c>
    </row>
    <row r="1869" spans="3:3">
      <c r="C1869" t="s">
        <v>2203</v>
      </c>
    </row>
    <row r="1870" spans="3:3">
      <c r="C1870" t="s">
        <v>2204</v>
      </c>
    </row>
    <row r="1871" spans="3:3">
      <c r="C1871" t="s">
        <v>2205</v>
      </c>
    </row>
    <row r="1872" spans="3:3">
      <c r="C1872" t="s">
        <v>2206</v>
      </c>
    </row>
    <row r="1873" spans="3:3">
      <c r="C1873" t="s">
        <v>2207</v>
      </c>
    </row>
    <row r="1874" spans="3:3">
      <c r="C1874" t="s">
        <v>2208</v>
      </c>
    </row>
    <row r="1875" spans="3:3">
      <c r="C1875" t="s">
        <v>2209</v>
      </c>
    </row>
    <row r="1876" spans="3:3">
      <c r="C1876" t="s">
        <v>2210</v>
      </c>
    </row>
    <row r="1877" spans="3:3">
      <c r="C1877" t="s">
        <v>813</v>
      </c>
    </row>
    <row r="1878" spans="3:3">
      <c r="C1878" t="s">
        <v>814</v>
      </c>
    </row>
    <row r="1879" spans="3:3">
      <c r="C1879" t="s">
        <v>319</v>
      </c>
    </row>
    <row r="1880" spans="3:3">
      <c r="C1880" t="s">
        <v>320</v>
      </c>
    </row>
    <row r="1881" spans="3:3">
      <c r="C1881">
        <v>37</v>
      </c>
    </row>
    <row r="1882" spans="3:3">
      <c r="C1882" t="s">
        <v>829</v>
      </c>
    </row>
    <row r="1883" spans="3:3">
      <c r="C1883" t="s">
        <v>2211</v>
      </c>
    </row>
    <row r="1884" spans="3:3">
      <c r="C1884" t="s">
        <v>2212</v>
      </c>
    </row>
    <row r="1885" spans="3:3">
      <c r="C1885" t="s">
        <v>2213</v>
      </c>
    </row>
    <row r="1886" spans="3:3">
      <c r="C1886" t="s">
        <v>2214</v>
      </c>
    </row>
    <row r="1887" spans="3:3">
      <c r="C1887" t="s">
        <v>2215</v>
      </c>
    </row>
    <row r="1888" spans="3:3">
      <c r="C1888" t="s">
        <v>2216</v>
      </c>
    </row>
    <row r="1889" spans="3:3">
      <c r="C1889" t="s">
        <v>118</v>
      </c>
    </row>
    <row r="1890" spans="3:3">
      <c r="C1890" t="s">
        <v>720</v>
      </c>
    </row>
    <row r="1891" spans="3:3">
      <c r="C1891" t="s">
        <v>721</v>
      </c>
    </row>
    <row r="1892" spans="3:3">
      <c r="C1892" t="s">
        <v>722</v>
      </c>
    </row>
    <row r="1893" spans="3:3">
      <c r="C1893" t="s">
        <v>723</v>
      </c>
    </row>
    <row r="1894" spans="3:3">
      <c r="C1894" t="s">
        <v>724</v>
      </c>
    </row>
    <row r="1895" spans="3:3">
      <c r="C1895" t="s">
        <v>725</v>
      </c>
    </row>
    <row r="1896" spans="3:3">
      <c r="C1896" t="s">
        <v>726</v>
      </c>
    </row>
    <row r="1897" spans="3:3">
      <c r="C1897" t="s">
        <v>727</v>
      </c>
    </row>
    <row r="1898" spans="3:3">
      <c r="C1898" t="s">
        <v>728</v>
      </c>
    </row>
    <row r="1899" spans="3:3">
      <c r="C1899" t="s">
        <v>2217</v>
      </c>
    </row>
    <row r="1900" spans="3:3">
      <c r="C1900" t="s">
        <v>2218</v>
      </c>
    </row>
    <row r="1901" spans="3:3">
      <c r="C1901" t="s">
        <v>813</v>
      </c>
    </row>
    <row r="1902" spans="3:3">
      <c r="C1902" t="s">
        <v>814</v>
      </c>
    </row>
    <row r="1903" spans="3:3">
      <c r="C1903" t="s">
        <v>319</v>
      </c>
    </row>
    <row r="1904" spans="3:3">
      <c r="C1904" t="s">
        <v>320</v>
      </c>
    </row>
    <row r="1905" spans="3:3">
      <c r="C1905">
        <v>38</v>
      </c>
    </row>
    <row r="1906" spans="3:3">
      <c r="C1906" t="s">
        <v>829</v>
      </c>
    </row>
    <row r="1907" spans="3:3">
      <c r="C1907" t="s">
        <v>2219</v>
      </c>
    </row>
    <row r="1908" spans="3:3">
      <c r="C1908" t="s">
        <v>2220</v>
      </c>
    </row>
    <row r="1909" spans="3:3">
      <c r="C1909" t="s">
        <v>2221</v>
      </c>
    </row>
    <row r="1910" spans="3:3">
      <c r="C1910" t="s">
        <v>2222</v>
      </c>
    </row>
    <row r="1911" spans="3:3">
      <c r="C1911" t="s">
        <v>1105</v>
      </c>
    </row>
    <row r="1912" spans="3:3">
      <c r="C1912" t="s">
        <v>2223</v>
      </c>
    </row>
    <row r="1913" spans="3:3">
      <c r="C1913" t="s">
        <v>2224</v>
      </c>
    </row>
    <row r="1914" spans="3:3">
      <c r="C1914" t="s">
        <v>2225</v>
      </c>
    </row>
    <row r="1915" spans="3:3">
      <c r="C1915" t="s">
        <v>2226</v>
      </c>
    </row>
    <row r="1916" spans="3:3">
      <c r="C1916" t="s">
        <v>813</v>
      </c>
    </row>
    <row r="1917" spans="3:3">
      <c r="C1917" t="s">
        <v>814</v>
      </c>
    </row>
    <row r="1918" spans="3:3">
      <c r="C1918" t="s">
        <v>319</v>
      </c>
    </row>
    <row r="1919" spans="3:3">
      <c r="C1919" t="s">
        <v>320</v>
      </c>
    </row>
    <row r="1920" spans="3:3">
      <c r="C1920">
        <v>39</v>
      </c>
    </row>
    <row r="1921" spans="3:3">
      <c r="C1921" t="s">
        <v>829</v>
      </c>
    </row>
    <row r="1922" spans="3:3">
      <c r="C1922" t="s">
        <v>2227</v>
      </c>
    </row>
    <row r="1923" spans="3:3">
      <c r="C1923" t="s">
        <v>2228</v>
      </c>
    </row>
    <row r="1924" spans="3:3">
      <c r="C1924" t="s">
        <v>2229</v>
      </c>
    </row>
    <row r="1925" spans="3:3">
      <c r="C1925" t="s">
        <v>2230</v>
      </c>
    </row>
    <row r="1926" spans="3:3">
      <c r="C1926" t="s">
        <v>2231</v>
      </c>
    </row>
    <row r="1927" spans="3:3">
      <c r="C1927" t="s">
        <v>1133</v>
      </c>
    </row>
    <row r="1928" spans="3:3">
      <c r="C1928" t="s">
        <v>1134</v>
      </c>
    </row>
    <row r="1929" spans="3:3">
      <c r="C1929" t="s">
        <v>1135</v>
      </c>
    </row>
    <row r="1930" spans="3:3">
      <c r="C1930" t="s">
        <v>2232</v>
      </c>
    </row>
    <row r="1931" spans="3:3">
      <c r="C1931" t="s">
        <v>2233</v>
      </c>
    </row>
    <row r="1932" spans="3:3">
      <c r="C1932" t="s">
        <v>2234</v>
      </c>
    </row>
    <row r="1933" spans="3:3">
      <c r="C1933" t="s">
        <v>1136</v>
      </c>
    </row>
    <row r="1934" spans="3:3">
      <c r="C1934" t="s">
        <v>1137</v>
      </c>
    </row>
    <row r="1935" spans="3:3">
      <c r="C1935" t="s">
        <v>1138</v>
      </c>
    </row>
    <row r="1936" spans="3:3">
      <c r="C1936" t="s">
        <v>2235</v>
      </c>
    </row>
    <row r="1937" spans="3:3">
      <c r="C1937" t="s">
        <v>729</v>
      </c>
    </row>
    <row r="1938" spans="3:3">
      <c r="C1938" t="s">
        <v>1139</v>
      </c>
    </row>
    <row r="1939" spans="3:3">
      <c r="C1939" t="s">
        <v>2236</v>
      </c>
    </row>
    <row r="1940" spans="3:3">
      <c r="C1940" t="s">
        <v>2237</v>
      </c>
    </row>
    <row r="1941" spans="3:3">
      <c r="C1941" t="s">
        <v>1140</v>
      </c>
    </row>
    <row r="1942" spans="3:3">
      <c r="C1942" t="s">
        <v>1141</v>
      </c>
    </row>
    <row r="1943" spans="3:3">
      <c r="C1943" t="s">
        <v>1142</v>
      </c>
    </row>
    <row r="1944" spans="3:3">
      <c r="C1944">
        <v>2024</v>
      </c>
    </row>
    <row r="1945" spans="3:3">
      <c r="C1945">
        <v>2023</v>
      </c>
    </row>
    <row r="1946" spans="3:3">
      <c r="C1946" t="s">
        <v>443</v>
      </c>
    </row>
    <row r="1947" spans="3:3">
      <c r="C1947" t="s">
        <v>444</v>
      </c>
    </row>
    <row r="1948" spans="3:3">
      <c r="C1948" t="s">
        <v>443</v>
      </c>
    </row>
    <row r="1949" spans="3:3">
      <c r="C1949" t="s">
        <v>2238</v>
      </c>
    </row>
    <row r="1950" spans="3:3">
      <c r="C1950" t="s">
        <v>811</v>
      </c>
    </row>
    <row r="1951" spans="3:3">
      <c r="C1951" t="s">
        <v>812</v>
      </c>
    </row>
    <row r="1952" spans="3:3">
      <c r="C1952" t="s">
        <v>2239</v>
      </c>
    </row>
    <row r="1953" spans="3:3">
      <c r="C1953" t="s">
        <v>2</v>
      </c>
    </row>
    <row r="1954" spans="3:3">
      <c r="C1954" t="s">
        <v>2240</v>
      </c>
    </row>
    <row r="1955" spans="3:3">
      <c r="C1955" t="s">
        <v>2241</v>
      </c>
    </row>
    <row r="1956" spans="3:3">
      <c r="C1956" t="s">
        <v>2</v>
      </c>
    </row>
    <row r="1957" spans="3:3">
      <c r="C1957" t="s">
        <v>2242</v>
      </c>
    </row>
    <row r="1958" spans="3:3">
      <c r="C1958" t="s">
        <v>2243</v>
      </c>
    </row>
    <row r="1959" spans="3:3">
      <c r="C1959" t="s">
        <v>2</v>
      </c>
    </row>
    <row r="1960" spans="3:3">
      <c r="C1960" t="s">
        <v>2244</v>
      </c>
    </row>
    <row r="1961" spans="3:3">
      <c r="C1961" t="s">
        <v>813</v>
      </c>
    </row>
    <row r="1962" spans="3:3">
      <c r="C1962" t="s">
        <v>814</v>
      </c>
    </row>
    <row r="1963" spans="3:3">
      <c r="C1963" t="s">
        <v>319</v>
      </c>
    </row>
    <row r="1964" spans="3:3">
      <c r="C1964" t="s">
        <v>320</v>
      </c>
    </row>
    <row r="1965" spans="3:3">
      <c r="C1965">
        <v>40</v>
      </c>
    </row>
    <row r="1966" spans="3:3">
      <c r="C1966" t="s">
        <v>829</v>
      </c>
    </row>
    <row r="1967" spans="3:3">
      <c r="C1967">
        <v>2024</v>
      </c>
    </row>
    <row r="1968" spans="3:3">
      <c r="C1968">
        <v>2023</v>
      </c>
    </row>
    <row r="1969" spans="3:3">
      <c r="C1969" t="s">
        <v>443</v>
      </c>
    </row>
    <row r="1970" spans="3:3">
      <c r="C1970" t="s">
        <v>444</v>
      </c>
    </row>
    <row r="1971" spans="3:3">
      <c r="C1971" t="s">
        <v>443</v>
      </c>
    </row>
    <row r="1972" spans="3:3">
      <c r="C1972" t="s">
        <v>444</v>
      </c>
    </row>
    <row r="1973" spans="3:3">
      <c r="C1973" t="s">
        <v>2245</v>
      </c>
    </row>
    <row r="1974" spans="3:3">
      <c r="C1974" t="s">
        <v>2246</v>
      </c>
    </row>
    <row r="1975" spans="3:3">
      <c r="C1975" t="s">
        <v>2247</v>
      </c>
    </row>
    <row r="1976" spans="3:3">
      <c r="C1976" t="s">
        <v>2248</v>
      </c>
    </row>
    <row r="1977" spans="3:3">
      <c r="C1977" t="s">
        <v>2249</v>
      </c>
    </row>
    <row r="1978" spans="3:3">
      <c r="C1978" t="s">
        <v>119</v>
      </c>
    </row>
    <row r="1979" spans="3:3">
      <c r="C1979" t="s">
        <v>2250</v>
      </c>
    </row>
    <row r="1980" spans="3:3">
      <c r="C1980" t="s">
        <v>2251</v>
      </c>
    </row>
    <row r="1981" spans="3:3">
      <c r="C1981" t="s">
        <v>2</v>
      </c>
    </row>
    <row r="1982" spans="3:3">
      <c r="C1982" t="s">
        <v>2252</v>
      </c>
    </row>
    <row r="1983" spans="3:3">
      <c r="C1983" t="s">
        <v>2253</v>
      </c>
    </row>
    <row r="1984" spans="3:3">
      <c r="C1984" t="s">
        <v>2254</v>
      </c>
    </row>
    <row r="1985" spans="3:3">
      <c r="C1985" t="s">
        <v>2255</v>
      </c>
    </row>
    <row r="1986" spans="3:3">
      <c r="C1986" t="s">
        <v>2</v>
      </c>
    </row>
    <row r="1987" spans="3:3">
      <c r="C1987" t="s">
        <v>2</v>
      </c>
    </row>
    <row r="1988" spans="3:3">
      <c r="C1988" t="s">
        <v>2256</v>
      </c>
    </row>
    <row r="1989" spans="3:3">
      <c r="C1989" t="s">
        <v>2</v>
      </c>
    </row>
    <row r="1990" spans="3:3">
      <c r="C1990" t="s">
        <v>2</v>
      </c>
    </row>
    <row r="1991" spans="3:3">
      <c r="C1991" t="s">
        <v>2257</v>
      </c>
    </row>
    <row r="1992" spans="3:3">
      <c r="C1992" t="s">
        <v>2</v>
      </c>
    </row>
    <row r="1993" spans="3:3">
      <c r="C1993" t="s">
        <v>2</v>
      </c>
    </row>
    <row r="1994" spans="3:3">
      <c r="C1994" t="s">
        <v>2258</v>
      </c>
    </row>
    <row r="1995" spans="3:3">
      <c r="C1995" t="s">
        <v>2</v>
      </c>
    </row>
    <row r="1996" spans="3:3">
      <c r="C1996" t="s">
        <v>2</v>
      </c>
    </row>
    <row r="1997" spans="3:3">
      <c r="C1997" t="s">
        <v>2259</v>
      </c>
    </row>
    <row r="1998" spans="3:3">
      <c r="C1998" t="s">
        <v>2</v>
      </c>
    </row>
    <row r="1999" spans="3:3">
      <c r="C1999" t="s">
        <v>2</v>
      </c>
    </row>
    <row r="2000" spans="3:3">
      <c r="C2000" t="s">
        <v>2260</v>
      </c>
    </row>
    <row r="2001" spans="3:3">
      <c r="C2001" t="s">
        <v>2</v>
      </c>
    </row>
    <row r="2002" spans="3:3">
      <c r="C2002" t="s">
        <v>2261</v>
      </c>
    </row>
    <row r="2003" spans="3:3">
      <c r="C2003" t="s">
        <v>2262</v>
      </c>
    </row>
    <row r="2004" spans="3:3">
      <c r="C2004" t="s">
        <v>2</v>
      </c>
    </row>
    <row r="2005" spans="3:3">
      <c r="C2005" t="s">
        <v>1253</v>
      </c>
    </row>
    <row r="2006" spans="3:3">
      <c r="C2006" t="s">
        <v>2263</v>
      </c>
    </row>
    <row r="2007" spans="3:3">
      <c r="C2007" t="s">
        <v>2</v>
      </c>
    </row>
    <row r="2008" spans="3:3">
      <c r="C2008" t="s">
        <v>2264</v>
      </c>
    </row>
    <row r="2009" spans="3:3">
      <c r="C2009" t="s">
        <v>2265</v>
      </c>
    </row>
    <row r="2010" spans="3:3">
      <c r="C2010" t="s">
        <v>2</v>
      </c>
    </row>
    <row r="2011" spans="3:3">
      <c r="C2011" t="s">
        <v>2</v>
      </c>
    </row>
    <row r="2012" spans="3:3">
      <c r="C2012" t="s">
        <v>2266</v>
      </c>
    </row>
    <row r="2013" spans="3:3">
      <c r="C2013" t="s">
        <v>2267</v>
      </c>
    </row>
    <row r="2014" spans="3:3">
      <c r="C2014" t="s">
        <v>1067</v>
      </c>
    </row>
    <row r="2015" spans="3:3">
      <c r="C2015" t="s">
        <v>2268</v>
      </c>
    </row>
    <row r="2016" spans="3:3">
      <c r="C2016" t="s">
        <v>57</v>
      </c>
    </row>
    <row r="2017" spans="3:3">
      <c r="C2017" t="s">
        <v>2</v>
      </c>
    </row>
    <row r="2018" spans="3:3">
      <c r="C2018" t="s">
        <v>2269</v>
      </c>
    </row>
    <row r="2019" spans="3:3">
      <c r="C2019" t="s">
        <v>2</v>
      </c>
    </row>
    <row r="2020" spans="3:3">
      <c r="C2020" t="s">
        <v>120</v>
      </c>
    </row>
    <row r="2021" spans="3:3">
      <c r="C2021" t="s">
        <v>2270</v>
      </c>
    </row>
    <row r="2022" spans="3:3">
      <c r="C2022" t="s">
        <v>121</v>
      </c>
    </row>
    <row r="2023" spans="3:3">
      <c r="C2023" t="s">
        <v>119</v>
      </c>
    </row>
    <row r="2024" spans="3:3">
      <c r="C2024" t="s">
        <v>2271</v>
      </c>
    </row>
    <row r="2025" spans="3:3">
      <c r="C2025" t="s">
        <v>2</v>
      </c>
    </row>
    <row r="2026" spans="3:3">
      <c r="C2026" t="s">
        <v>2</v>
      </c>
    </row>
    <row r="2027" spans="3:3">
      <c r="C2027" t="s">
        <v>2272</v>
      </c>
    </row>
    <row r="2028" spans="3:3">
      <c r="C2028" t="s">
        <v>2</v>
      </c>
    </row>
    <row r="2029" spans="3:3">
      <c r="C2029" t="s">
        <v>2</v>
      </c>
    </row>
    <row r="2030" spans="3:3">
      <c r="C2030" t="s">
        <v>2273</v>
      </c>
    </row>
    <row r="2031" spans="3:3">
      <c r="C2031" t="s">
        <v>2</v>
      </c>
    </row>
    <row r="2032" spans="3:3">
      <c r="C2032" t="s">
        <v>2274</v>
      </c>
    </row>
    <row r="2033" spans="3:3">
      <c r="C2033" t="s">
        <v>2275</v>
      </c>
    </row>
    <row r="2034" spans="3:3">
      <c r="C2034" t="s">
        <v>2276</v>
      </c>
    </row>
    <row r="2035" spans="3:3">
      <c r="C2035" t="s">
        <v>1016</v>
      </c>
    </row>
    <row r="2036" spans="3:3">
      <c r="C2036" t="s">
        <v>2277</v>
      </c>
    </row>
    <row r="2037" spans="3:3">
      <c r="C2037" t="s">
        <v>738</v>
      </c>
    </row>
    <row r="2038" spans="3:3">
      <c r="C2038" t="s">
        <v>2278</v>
      </c>
    </row>
    <row r="2039" spans="3:3">
      <c r="C2039" t="s">
        <v>2186</v>
      </c>
    </row>
    <row r="2040" spans="3:3">
      <c r="C2040" t="s">
        <v>2279</v>
      </c>
    </row>
    <row r="2041" spans="3:3">
      <c r="C2041" t="s">
        <v>2193</v>
      </c>
    </row>
    <row r="2042" spans="3:3">
      <c r="C2042" t="s">
        <v>2280</v>
      </c>
    </row>
    <row r="2043" spans="3:3">
      <c r="C2043" t="s">
        <v>157</v>
      </c>
    </row>
    <row r="2044" spans="3:3">
      <c r="C2044" t="s">
        <v>2281</v>
      </c>
    </row>
    <row r="2045" spans="3:3">
      <c r="C2045" t="s">
        <v>1796</v>
      </c>
    </row>
    <row r="2046" spans="3:3">
      <c r="C2046" t="s">
        <v>1799</v>
      </c>
    </row>
    <row r="2047" spans="3:3">
      <c r="C2047" t="s">
        <v>1143</v>
      </c>
    </row>
    <row r="2048" spans="3:3">
      <c r="C2048" t="s">
        <v>1144</v>
      </c>
    </row>
    <row r="2049" spans="3:3">
      <c r="C2049" t="s">
        <v>1145</v>
      </c>
    </row>
    <row r="2050" spans="3:3">
      <c r="C2050" t="s">
        <v>78</v>
      </c>
    </row>
    <row r="2051" spans="3:3">
      <c r="C2051" t="s">
        <v>10</v>
      </c>
    </row>
    <row r="2052" spans="3:3">
      <c r="C2052" t="s">
        <v>347</v>
      </c>
    </row>
    <row r="2053" spans="3:3">
      <c r="C2053" t="s">
        <v>2282</v>
      </c>
    </row>
    <row r="2054" spans="3:3">
      <c r="C2054" t="s">
        <v>2283</v>
      </c>
    </row>
    <row r="2055" spans="3:3">
      <c r="C2055" t="s">
        <v>84</v>
      </c>
    </row>
    <row r="2056" spans="3:3">
      <c r="C2056" t="s">
        <v>2284</v>
      </c>
    </row>
    <row r="2057" spans="3:3">
      <c r="C2057" t="s">
        <v>425</v>
      </c>
    </row>
    <row r="2058" spans="3:3">
      <c r="C2058" t="s">
        <v>2285</v>
      </c>
    </row>
    <row r="2059" spans="3:3">
      <c r="C2059" t="s">
        <v>813</v>
      </c>
    </row>
    <row r="2060" spans="3:3">
      <c r="C2060" t="s">
        <v>814</v>
      </c>
    </row>
    <row r="2061" spans="3:3">
      <c r="C2061" t="s">
        <v>319</v>
      </c>
    </row>
    <row r="2062" spans="3:3">
      <c r="C2062" t="s">
        <v>320</v>
      </c>
    </row>
    <row r="2063" spans="3:3">
      <c r="C2063">
        <v>41</v>
      </c>
    </row>
    <row r="2064" spans="3:3">
      <c r="C2064" t="s">
        <v>829</v>
      </c>
    </row>
    <row r="2065" spans="3:3">
      <c r="C2065" t="s">
        <v>1148</v>
      </c>
    </row>
    <row r="2066" spans="3:3">
      <c r="C2066" t="s">
        <v>78</v>
      </c>
    </row>
    <row r="2067" spans="3:3">
      <c r="C2067" t="s">
        <v>10</v>
      </c>
    </row>
    <row r="2068" spans="3:3">
      <c r="C2068" t="s">
        <v>87</v>
      </c>
    </row>
    <row r="2069" spans="3:3">
      <c r="C2069" t="s">
        <v>2286</v>
      </c>
    </row>
    <row r="2070" spans="3:3">
      <c r="C2070" t="s">
        <v>266</v>
      </c>
    </row>
    <row r="2071" spans="3:3">
      <c r="C2071" t="s">
        <v>2287</v>
      </c>
    </row>
    <row r="2072" spans="3:3">
      <c r="C2072" t="s">
        <v>1149</v>
      </c>
    </row>
    <row r="2073" spans="3:3">
      <c r="C2073" t="s">
        <v>1150</v>
      </c>
    </row>
    <row r="2074" spans="3:3">
      <c r="C2074" t="s">
        <v>2288</v>
      </c>
    </row>
    <row r="2075" spans="3:3">
      <c r="C2075" t="s">
        <v>344</v>
      </c>
    </row>
    <row r="2076" spans="3:3">
      <c r="C2076" t="s">
        <v>347</v>
      </c>
    </row>
    <row r="2077" spans="3:3">
      <c r="C2077" t="s">
        <v>2289</v>
      </c>
    </row>
    <row r="2078" spans="3:3">
      <c r="C2078" t="s">
        <v>445</v>
      </c>
    </row>
    <row r="2079" spans="3:3">
      <c r="C2079" t="s">
        <v>344</v>
      </c>
    </row>
    <row r="2080" spans="3:3">
      <c r="C2080" t="s">
        <v>347</v>
      </c>
    </row>
    <row r="2081" spans="3:3">
      <c r="C2081" t="s">
        <v>83</v>
      </c>
    </row>
    <row r="2082" spans="3:3">
      <c r="C2082" t="s">
        <v>1769</v>
      </c>
    </row>
    <row r="2083" spans="3:3">
      <c r="C2083" t="s">
        <v>1094</v>
      </c>
    </row>
    <row r="2084" spans="3:3">
      <c r="C2084" t="s">
        <v>1095</v>
      </c>
    </row>
    <row r="2085" spans="3:3">
      <c r="C2085" t="s">
        <v>1096</v>
      </c>
    </row>
    <row r="2086" spans="3:3">
      <c r="C2086" t="s">
        <v>2290</v>
      </c>
    </row>
    <row r="2087" spans="3:3">
      <c r="C2087" t="s">
        <v>1796</v>
      </c>
    </row>
    <row r="2088" spans="3:3">
      <c r="C2088" t="s">
        <v>2</v>
      </c>
    </row>
    <row r="2089" spans="3:3">
      <c r="C2089" t="s">
        <v>1796</v>
      </c>
    </row>
    <row r="2090" spans="3:3">
      <c r="C2090" t="s">
        <v>2291</v>
      </c>
    </row>
    <row r="2091" spans="3:3">
      <c r="C2091" t="s">
        <v>2</v>
      </c>
    </row>
    <row r="2092" spans="3:3">
      <c r="C2092" t="s">
        <v>2292</v>
      </c>
    </row>
    <row r="2093" spans="3:3">
      <c r="C2093" t="s">
        <v>2292</v>
      </c>
    </row>
    <row r="2094" spans="3:3">
      <c r="C2094" t="s">
        <v>446</v>
      </c>
    </row>
    <row r="2095" spans="3:3">
      <c r="C2095" t="s">
        <v>2</v>
      </c>
    </row>
    <row r="2096" spans="3:3">
      <c r="C2096" t="s">
        <v>1999</v>
      </c>
    </row>
    <row r="2097" spans="3:3">
      <c r="C2097" t="s">
        <v>1999</v>
      </c>
    </row>
    <row r="2098" spans="3:3">
      <c r="C2098" t="s">
        <v>122</v>
      </c>
    </row>
    <row r="2099" spans="3:3">
      <c r="C2099" t="s">
        <v>2293</v>
      </c>
    </row>
    <row r="2100" spans="3:3">
      <c r="C2100" t="s">
        <v>2294</v>
      </c>
    </row>
    <row r="2101" spans="3:3">
      <c r="C2101" t="s">
        <v>2295</v>
      </c>
    </row>
    <row r="2102" spans="3:3">
      <c r="C2102" t="s">
        <v>447</v>
      </c>
    </row>
    <row r="2103" spans="3:3">
      <c r="C2103" t="s">
        <v>2296</v>
      </c>
    </row>
    <row r="2104" spans="3:3">
      <c r="C2104" t="s">
        <v>2297</v>
      </c>
    </row>
    <row r="2105" spans="3:3">
      <c r="C2105" t="s">
        <v>2298</v>
      </c>
    </row>
    <row r="2106" spans="3:3">
      <c r="C2106" t="s">
        <v>1151</v>
      </c>
    </row>
    <row r="2107" spans="3:3">
      <c r="C2107" t="s">
        <v>1799</v>
      </c>
    </row>
    <row r="2108" spans="3:3">
      <c r="C2108" t="s">
        <v>1801</v>
      </c>
    </row>
    <row r="2109" spans="3:3">
      <c r="C2109" t="s">
        <v>2299</v>
      </c>
    </row>
    <row r="2110" spans="3:3">
      <c r="C2110" t="s">
        <v>1152</v>
      </c>
    </row>
    <row r="2111" spans="3:3">
      <c r="C2111" t="s">
        <v>708</v>
      </c>
    </row>
    <row r="2112" spans="3:3">
      <c r="C2112" t="s">
        <v>2300</v>
      </c>
    </row>
    <row r="2113" spans="3:3">
      <c r="C2113" t="s">
        <v>2301</v>
      </c>
    </row>
    <row r="2114" spans="3:3">
      <c r="C2114" t="s">
        <v>1154</v>
      </c>
    </row>
    <row r="2115" spans="3:3">
      <c r="C2115" t="s">
        <v>769</v>
      </c>
    </row>
    <row r="2116" spans="3:3">
      <c r="C2116" t="s">
        <v>2302</v>
      </c>
    </row>
    <row r="2117" spans="3:3">
      <c r="C2117" t="s">
        <v>1784</v>
      </c>
    </row>
    <row r="2118" spans="3:3">
      <c r="C2118" t="s">
        <v>448</v>
      </c>
    </row>
    <row r="2119" spans="3:3">
      <c r="C2119" t="s">
        <v>2303</v>
      </c>
    </row>
    <row r="2120" spans="3:3">
      <c r="C2120" t="s">
        <v>185</v>
      </c>
    </row>
    <row r="2121" spans="3:3">
      <c r="C2121" t="s">
        <v>2304</v>
      </c>
    </row>
    <row r="2122" spans="3:3">
      <c r="C2122" t="s">
        <v>449</v>
      </c>
    </row>
    <row r="2123" spans="3:3">
      <c r="C2123" t="s">
        <v>157</v>
      </c>
    </row>
    <row r="2124" spans="3:3">
      <c r="C2124" t="s">
        <v>131</v>
      </c>
    </row>
    <row r="2125" spans="3:3">
      <c r="C2125" t="s">
        <v>156</v>
      </c>
    </row>
    <row r="2126" spans="3:3">
      <c r="C2126" t="s">
        <v>26</v>
      </c>
    </row>
    <row r="2127" spans="3:3">
      <c r="C2127" t="s">
        <v>1128</v>
      </c>
    </row>
    <row r="2128" spans="3:3">
      <c r="C2128" t="s">
        <v>1146</v>
      </c>
    </row>
    <row r="2129" spans="3:3">
      <c r="C2129" t="s">
        <v>2305</v>
      </c>
    </row>
    <row r="2130" spans="3:3">
      <c r="C2130" t="s">
        <v>813</v>
      </c>
    </row>
    <row r="2131" spans="3:3">
      <c r="C2131" t="s">
        <v>814</v>
      </c>
    </row>
    <row r="2132" spans="3:3">
      <c r="C2132" t="s">
        <v>319</v>
      </c>
    </row>
    <row r="2133" spans="3:3">
      <c r="C2133" t="s">
        <v>320</v>
      </c>
    </row>
    <row r="2134" spans="3:3">
      <c r="C2134">
        <v>42</v>
      </c>
    </row>
    <row r="2135" spans="3:3">
      <c r="C2135" t="s">
        <v>829</v>
      </c>
    </row>
    <row r="2136" spans="3:3">
      <c r="C2136" t="s">
        <v>1156</v>
      </c>
    </row>
    <row r="2137" spans="3:3">
      <c r="C2137" t="s">
        <v>1157</v>
      </c>
    </row>
    <row r="2138" spans="3:3">
      <c r="C2138" t="s">
        <v>450</v>
      </c>
    </row>
    <row r="2139" spans="3:3">
      <c r="C2139" t="s">
        <v>451</v>
      </c>
    </row>
    <row r="2140" spans="3:3">
      <c r="C2140" t="s">
        <v>1158</v>
      </c>
    </row>
    <row r="2141" spans="3:3">
      <c r="C2141" t="s">
        <v>1159</v>
      </c>
    </row>
    <row r="2142" spans="3:3">
      <c r="C2142" t="s">
        <v>732</v>
      </c>
    </row>
    <row r="2143" spans="3:3">
      <c r="C2143" t="s">
        <v>733</v>
      </c>
    </row>
    <row r="2144" spans="3:3">
      <c r="C2144" t="s">
        <v>734</v>
      </c>
    </row>
    <row r="2145" spans="3:3">
      <c r="C2145" t="s">
        <v>452</v>
      </c>
    </row>
    <row r="2146" spans="3:3">
      <c r="C2146" t="s">
        <v>453</v>
      </c>
    </row>
    <row r="2147" spans="3:3">
      <c r="C2147" t="s">
        <v>454</v>
      </c>
    </row>
    <row r="2148" spans="3:3">
      <c r="C2148" t="s">
        <v>455</v>
      </c>
    </row>
    <row r="2149" spans="3:3">
      <c r="C2149" t="s">
        <v>1160</v>
      </c>
    </row>
    <row r="2150" spans="3:3">
      <c r="C2150" t="s">
        <v>1161</v>
      </c>
    </row>
    <row r="2151" spans="3:3">
      <c r="C2151" t="s">
        <v>1162</v>
      </c>
    </row>
    <row r="2152" spans="3:3">
      <c r="C2152" t="s">
        <v>1163</v>
      </c>
    </row>
    <row r="2153" spans="3:3">
      <c r="C2153" t="s">
        <v>456</v>
      </c>
    </row>
    <row r="2154" spans="3:3">
      <c r="C2154" t="s">
        <v>2306</v>
      </c>
    </row>
    <row r="2155" spans="3:3">
      <c r="C2155" t="s">
        <v>1164</v>
      </c>
    </row>
    <row r="2156" spans="3:3">
      <c r="C2156" t="s">
        <v>2307</v>
      </c>
    </row>
    <row r="2157" spans="3:3">
      <c r="C2157" t="s">
        <v>2308</v>
      </c>
    </row>
    <row r="2158" spans="3:3">
      <c r="C2158" t="s">
        <v>735</v>
      </c>
    </row>
    <row r="2159" spans="3:3">
      <c r="C2159" t="s">
        <v>736</v>
      </c>
    </row>
    <row r="2160" spans="3:3">
      <c r="C2160" t="s">
        <v>1165</v>
      </c>
    </row>
    <row r="2161" spans="3:3">
      <c r="C2161" t="s">
        <v>457</v>
      </c>
    </row>
    <row r="2162" spans="3:3">
      <c r="C2162" t="s">
        <v>1166</v>
      </c>
    </row>
    <row r="2163" spans="3:3">
      <c r="C2163" t="s">
        <v>1167</v>
      </c>
    </row>
    <row r="2164" spans="3:3">
      <c r="C2164" t="s">
        <v>813</v>
      </c>
    </row>
    <row r="2165" spans="3:3">
      <c r="C2165" t="s">
        <v>814</v>
      </c>
    </row>
    <row r="2166" spans="3:3">
      <c r="C2166" t="s">
        <v>319</v>
      </c>
    </row>
    <row r="2167" spans="3:3">
      <c r="C2167" t="s">
        <v>320</v>
      </c>
    </row>
    <row r="2168" spans="3:3">
      <c r="C2168">
        <v>43</v>
      </c>
    </row>
    <row r="2169" spans="3:3">
      <c r="C2169" t="s">
        <v>829</v>
      </c>
    </row>
    <row r="2170" spans="3:3">
      <c r="C2170" t="s">
        <v>458</v>
      </c>
    </row>
    <row r="2171" spans="3:3">
      <c r="C2171" t="s">
        <v>1168</v>
      </c>
    </row>
    <row r="2172" spans="3:3">
      <c r="C2172" t="s">
        <v>415</v>
      </c>
    </row>
    <row r="2173" spans="3:3">
      <c r="C2173" t="s">
        <v>459</v>
      </c>
    </row>
    <row r="2174" spans="3:3">
      <c r="C2174" t="s">
        <v>1169</v>
      </c>
    </row>
    <row r="2175" spans="3:3">
      <c r="C2175" t="s">
        <v>460</v>
      </c>
    </row>
    <row r="2176" spans="3:3">
      <c r="C2176" t="s">
        <v>2309</v>
      </c>
    </row>
    <row r="2177" spans="3:3">
      <c r="C2177" t="s">
        <v>461</v>
      </c>
    </row>
    <row r="2178" spans="3:3">
      <c r="C2178" t="s">
        <v>462</v>
      </c>
    </row>
    <row r="2179" spans="3:3">
      <c r="C2179" t="s">
        <v>463</v>
      </c>
    </row>
    <row r="2180" spans="3:3">
      <c r="C2180" t="s">
        <v>450</v>
      </c>
    </row>
    <row r="2181" spans="3:3">
      <c r="C2181" t="s">
        <v>2310</v>
      </c>
    </row>
    <row r="2182" spans="3:3">
      <c r="C2182" t="s">
        <v>813</v>
      </c>
    </row>
    <row r="2183" spans="3:3">
      <c r="C2183" t="s">
        <v>814</v>
      </c>
    </row>
    <row r="2184" spans="3:3">
      <c r="C2184" t="s">
        <v>319</v>
      </c>
    </row>
    <row r="2185" spans="3:3">
      <c r="C2185" t="s">
        <v>320</v>
      </c>
    </row>
    <row r="2186" spans="3:3">
      <c r="C2186">
        <v>44</v>
      </c>
    </row>
    <row r="2187" spans="3:3">
      <c r="C2187" t="s">
        <v>829</v>
      </c>
    </row>
    <row r="2188" spans="3:3">
      <c r="C2188" t="s">
        <v>2311</v>
      </c>
    </row>
    <row r="2189" spans="3:3">
      <c r="C2189" t="s">
        <v>2312</v>
      </c>
    </row>
    <row r="2190" spans="3:3">
      <c r="C2190" t="s">
        <v>2313</v>
      </c>
    </row>
    <row r="2191" spans="3:3">
      <c r="C2191" t="s">
        <v>2314</v>
      </c>
    </row>
    <row r="2192" spans="3:3">
      <c r="C2192" t="s">
        <v>45</v>
      </c>
    </row>
    <row r="2193" spans="3:3">
      <c r="C2193" t="s">
        <v>124</v>
      </c>
    </row>
    <row r="2194" spans="3:3">
      <c r="C2194" t="s">
        <v>125</v>
      </c>
    </row>
    <row r="2195" spans="3:3">
      <c r="C2195" t="s">
        <v>2315</v>
      </c>
    </row>
    <row r="2196" spans="3:3">
      <c r="C2196" t="s">
        <v>2316</v>
      </c>
    </row>
    <row r="2197" spans="3:3">
      <c r="C2197" t="s">
        <v>464</v>
      </c>
    </row>
    <row r="2198" spans="3:3">
      <c r="C2198" t="s">
        <v>465</v>
      </c>
    </row>
    <row r="2199" spans="3:3">
      <c r="C2199" t="s">
        <v>2317</v>
      </c>
    </row>
    <row r="2200" spans="3:3">
      <c r="C2200" t="s">
        <v>80</v>
      </c>
    </row>
    <row r="2201" spans="3:3">
      <c r="C2201" t="s">
        <v>1769</v>
      </c>
    </row>
    <row r="2202" spans="3:3">
      <c r="C2202" t="s">
        <v>466</v>
      </c>
    </row>
    <row r="2203" spans="3:3">
      <c r="C2203" t="s">
        <v>1179</v>
      </c>
    </row>
    <row r="2204" spans="3:3">
      <c r="C2204" t="s">
        <v>1180</v>
      </c>
    </row>
    <row r="2205" spans="3:3">
      <c r="C2205" t="s">
        <v>126</v>
      </c>
    </row>
    <row r="2206" spans="3:3">
      <c r="C2206" t="s">
        <v>127</v>
      </c>
    </row>
    <row r="2207" spans="3:3">
      <c r="C2207" t="s">
        <v>1181</v>
      </c>
    </row>
    <row r="2208" spans="3:3">
      <c r="C2208" t="s">
        <v>1182</v>
      </c>
    </row>
    <row r="2209" spans="3:3">
      <c r="C2209" t="s">
        <v>1183</v>
      </c>
    </row>
    <row r="2210" spans="3:3">
      <c r="C2210" t="s">
        <v>1184</v>
      </c>
    </row>
    <row r="2211" spans="3:3">
      <c r="C2211" t="s">
        <v>2318</v>
      </c>
    </row>
    <row r="2212" spans="3:3">
      <c r="C2212" t="s">
        <v>1185</v>
      </c>
    </row>
    <row r="2213" spans="3:3">
      <c r="C2213" t="s">
        <v>1186</v>
      </c>
    </row>
    <row r="2214" spans="3:3">
      <c r="C2214" t="s">
        <v>2</v>
      </c>
    </row>
    <row r="2215" spans="3:3">
      <c r="C2215" t="s">
        <v>2</v>
      </c>
    </row>
    <row r="2216" spans="3:3">
      <c r="C2216" t="s">
        <v>1187</v>
      </c>
    </row>
    <row r="2217" spans="3:3">
      <c r="C2217" t="s">
        <v>1188</v>
      </c>
    </row>
    <row r="2218" spans="3:3">
      <c r="C2218" t="s">
        <v>1189</v>
      </c>
    </row>
    <row r="2219" spans="3:3">
      <c r="C2219" t="s">
        <v>1190</v>
      </c>
    </row>
    <row r="2220" spans="3:3">
      <c r="C2220" t="s">
        <v>467</v>
      </c>
    </row>
    <row r="2221" spans="3:3">
      <c r="C2221" t="s">
        <v>1174</v>
      </c>
    </row>
    <row r="2222" spans="3:3">
      <c r="C2222" t="s">
        <v>1175</v>
      </c>
    </row>
    <row r="2223" spans="3:3">
      <c r="C2223" t="s">
        <v>126</v>
      </c>
    </row>
    <row r="2224" spans="3:3">
      <c r="C2224" t="s">
        <v>127</v>
      </c>
    </row>
    <row r="2225" spans="3:3">
      <c r="C2225" t="s">
        <v>1176</v>
      </c>
    </row>
    <row r="2226" spans="3:3">
      <c r="C2226" t="s">
        <v>1177</v>
      </c>
    </row>
    <row r="2227" spans="3:3">
      <c r="C2227" t="s">
        <v>1178</v>
      </c>
    </row>
    <row r="2228" spans="3:3">
      <c r="C2228" t="s">
        <v>989</v>
      </c>
    </row>
    <row r="2229" spans="3:3">
      <c r="C2229" t="s">
        <v>468</v>
      </c>
    </row>
    <row r="2230" spans="3:3">
      <c r="C2230" t="s">
        <v>2</v>
      </c>
    </row>
    <row r="2231" spans="3:3">
      <c r="C2231" t="s">
        <v>2</v>
      </c>
    </row>
    <row r="2232" spans="3:3">
      <c r="C2232" t="s">
        <v>2319</v>
      </c>
    </row>
    <row r="2233" spans="3:3">
      <c r="C2233" t="s">
        <v>2320</v>
      </c>
    </row>
    <row r="2234" spans="3:3">
      <c r="C2234" t="s">
        <v>2</v>
      </c>
    </row>
    <row r="2235" spans="3:3">
      <c r="C2235" t="s">
        <v>2</v>
      </c>
    </row>
    <row r="2236" spans="3:3">
      <c r="C2236" t="s">
        <v>2321</v>
      </c>
    </row>
    <row r="2237" spans="3:3">
      <c r="C2237" t="s">
        <v>2322</v>
      </c>
    </row>
    <row r="2238" spans="3:3">
      <c r="C2238" t="s">
        <v>469</v>
      </c>
    </row>
    <row r="2239" spans="3:3">
      <c r="C2239" t="s">
        <v>2</v>
      </c>
    </row>
    <row r="2240" spans="3:3">
      <c r="C2240" t="s">
        <v>1006</v>
      </c>
    </row>
    <row r="2241" spans="3:3">
      <c r="C2241" t="s">
        <v>2</v>
      </c>
    </row>
    <row r="2242" spans="3:3">
      <c r="C2242" t="s">
        <v>2</v>
      </c>
    </row>
    <row r="2243" spans="3:3">
      <c r="C2243" t="s">
        <v>162</v>
      </c>
    </row>
    <row r="2244" spans="3:3">
      <c r="C2244" t="s">
        <v>60</v>
      </c>
    </row>
    <row r="2245" spans="3:3">
      <c r="C2245" t="s">
        <v>70</v>
      </c>
    </row>
    <row r="2246" spans="3:3">
      <c r="C2246" t="s">
        <v>2323</v>
      </c>
    </row>
    <row r="2247" spans="3:3">
      <c r="C2247" t="s">
        <v>2</v>
      </c>
    </row>
    <row r="2248" spans="3:3">
      <c r="C2248" t="s">
        <v>2</v>
      </c>
    </row>
    <row r="2249" spans="3:3">
      <c r="C2249" t="s">
        <v>2</v>
      </c>
    </row>
    <row r="2250" spans="3:3">
      <c r="C2250" t="s">
        <v>2</v>
      </c>
    </row>
    <row r="2251" spans="3:3">
      <c r="C2251" t="s">
        <v>2</v>
      </c>
    </row>
    <row r="2252" spans="3:3">
      <c r="C2252" t="s">
        <v>2</v>
      </c>
    </row>
    <row r="2253" spans="3:3">
      <c r="C2253" t="s">
        <v>2324</v>
      </c>
    </row>
    <row r="2254" spans="3:3">
      <c r="C2254" t="s">
        <v>2324</v>
      </c>
    </row>
    <row r="2255" spans="3:3">
      <c r="C2255" t="s">
        <v>470</v>
      </c>
    </row>
    <row r="2256" spans="3:3">
      <c r="C2256" t="s">
        <v>2</v>
      </c>
    </row>
    <row r="2257" spans="3:3">
      <c r="C2257" t="s">
        <v>2325</v>
      </c>
    </row>
    <row r="2258" spans="3:3">
      <c r="C2258" t="s">
        <v>2</v>
      </c>
    </row>
    <row r="2259" spans="3:3">
      <c r="C2259" t="s">
        <v>2</v>
      </c>
    </row>
    <row r="2260" spans="3:3">
      <c r="C2260" t="s">
        <v>2</v>
      </c>
    </row>
    <row r="2261" spans="3:3">
      <c r="C2261" t="s">
        <v>2</v>
      </c>
    </row>
    <row r="2262" spans="3:3">
      <c r="C2262" t="s">
        <v>2</v>
      </c>
    </row>
    <row r="2263" spans="3:3">
      <c r="C2263" t="s">
        <v>2325</v>
      </c>
    </row>
    <row r="2264" spans="3:3">
      <c r="C2264" t="s">
        <v>1173</v>
      </c>
    </row>
    <row r="2265" spans="3:3">
      <c r="C2265" t="s">
        <v>146</v>
      </c>
    </row>
    <row r="2266" spans="3:3">
      <c r="C2266" t="s">
        <v>2326</v>
      </c>
    </row>
    <row r="2267" spans="3:3">
      <c r="C2267" t="s">
        <v>2</v>
      </c>
    </row>
    <row r="2268" spans="3:3">
      <c r="C2268" t="s">
        <v>2</v>
      </c>
    </row>
    <row r="2269" spans="3:3">
      <c r="C2269" t="s">
        <v>2327</v>
      </c>
    </row>
    <row r="2270" spans="3:3">
      <c r="C2270" t="s">
        <v>2328</v>
      </c>
    </row>
    <row r="2271" spans="3:3">
      <c r="C2271" t="s">
        <v>2329</v>
      </c>
    </row>
    <row r="2272" spans="3:3">
      <c r="C2272" t="s">
        <v>2</v>
      </c>
    </row>
    <row r="2273" spans="3:3">
      <c r="C2273" t="s">
        <v>130</v>
      </c>
    </row>
    <row r="2274" spans="3:3">
      <c r="C2274" t="s">
        <v>2</v>
      </c>
    </row>
    <row r="2275" spans="3:3">
      <c r="C2275" t="s">
        <v>2330</v>
      </c>
    </row>
    <row r="2276" spans="3:3">
      <c r="C2276" t="s">
        <v>2331</v>
      </c>
    </row>
    <row r="2277" spans="3:3">
      <c r="C2277" t="s">
        <v>2</v>
      </c>
    </row>
    <row r="2278" spans="3:3">
      <c r="C2278" t="s">
        <v>154</v>
      </c>
    </row>
    <row r="2279" spans="3:3">
      <c r="C2279" t="s">
        <v>123</v>
      </c>
    </row>
    <row r="2280" spans="3:3">
      <c r="C2280" t="s">
        <v>2332</v>
      </c>
    </row>
    <row r="2281" spans="3:3">
      <c r="C2281" t="s">
        <v>2333</v>
      </c>
    </row>
    <row r="2282" spans="3:3">
      <c r="C2282" t="s">
        <v>134</v>
      </c>
    </row>
    <row r="2283" spans="3:3">
      <c r="C2283" t="s">
        <v>2</v>
      </c>
    </row>
    <row r="2284" spans="3:3">
      <c r="C2284" t="s">
        <v>2334</v>
      </c>
    </row>
    <row r="2285" spans="3:3">
      <c r="C2285" t="s">
        <v>2335</v>
      </c>
    </row>
    <row r="2286" spans="3:3">
      <c r="C2286" t="s">
        <v>2336</v>
      </c>
    </row>
    <row r="2287" spans="3:3">
      <c r="C2287" t="s">
        <v>2337</v>
      </c>
    </row>
    <row r="2288" spans="3:3">
      <c r="C2288" t="s">
        <v>2338</v>
      </c>
    </row>
    <row r="2289" spans="3:3">
      <c r="C2289" t="s">
        <v>2</v>
      </c>
    </row>
    <row r="2290" spans="3:3">
      <c r="C2290" t="s">
        <v>2339</v>
      </c>
    </row>
    <row r="2291" spans="3:3">
      <c r="C2291" t="s">
        <v>486</v>
      </c>
    </row>
    <row r="2292" spans="3:3">
      <c r="C2292">
        <v>7.4</v>
      </c>
    </row>
    <row r="2293" spans="3:3">
      <c r="C2293" t="s">
        <v>132</v>
      </c>
    </row>
    <row r="2294" spans="3:3">
      <c r="C2294" t="s">
        <v>135</v>
      </c>
    </row>
    <row r="2295" spans="3:3">
      <c r="C2295" t="s">
        <v>2340</v>
      </c>
    </row>
    <row r="2296" spans="3:3">
      <c r="C2296" t="s">
        <v>27</v>
      </c>
    </row>
    <row r="2297" spans="3:3">
      <c r="C2297" t="s">
        <v>730</v>
      </c>
    </row>
    <row r="2298" spans="3:3">
      <c r="C2298" t="s">
        <v>133</v>
      </c>
    </row>
    <row r="2299" spans="3:3">
      <c r="C2299" t="s">
        <v>2341</v>
      </c>
    </row>
    <row r="2300" spans="3:3">
      <c r="C2300" t="s">
        <v>2342</v>
      </c>
    </row>
    <row r="2301" spans="3:3">
      <c r="C2301" t="s">
        <v>471</v>
      </c>
    </row>
    <row r="2302" spans="3:3">
      <c r="C2302">
        <v>7.4</v>
      </c>
    </row>
    <row r="2303" spans="3:3">
      <c r="C2303" t="s">
        <v>2</v>
      </c>
    </row>
    <row r="2304" spans="3:3">
      <c r="C2304" t="s">
        <v>2</v>
      </c>
    </row>
    <row r="2305" spans="3:3">
      <c r="C2305" t="s">
        <v>2</v>
      </c>
    </row>
    <row r="2306" spans="3:3">
      <c r="C2306" t="s">
        <v>2</v>
      </c>
    </row>
    <row r="2307" spans="3:3">
      <c r="C2307" t="s">
        <v>150</v>
      </c>
    </row>
    <row r="2308" spans="3:3">
      <c r="C2308" t="s">
        <v>155</v>
      </c>
    </row>
    <row r="2309" spans="3:3">
      <c r="C2309" t="s">
        <v>715</v>
      </c>
    </row>
    <row r="2310" spans="3:3">
      <c r="C2310" t="s">
        <v>1008</v>
      </c>
    </row>
    <row r="2311" spans="3:3">
      <c r="C2311" t="s">
        <v>2343</v>
      </c>
    </row>
    <row r="2312" spans="3:3">
      <c r="C2312">
        <v>7.4</v>
      </c>
    </row>
    <row r="2313" spans="3:3">
      <c r="C2313" t="s">
        <v>2</v>
      </c>
    </row>
    <row r="2314" spans="3:3">
      <c r="C2314" t="s">
        <v>2</v>
      </c>
    </row>
    <row r="2315" spans="3:3">
      <c r="C2315" t="s">
        <v>2</v>
      </c>
    </row>
    <row r="2316" spans="3:3">
      <c r="C2316" t="s">
        <v>2</v>
      </c>
    </row>
    <row r="2317" spans="3:3">
      <c r="C2317" t="s">
        <v>2</v>
      </c>
    </row>
    <row r="2318" spans="3:3">
      <c r="C2318" t="s">
        <v>2</v>
      </c>
    </row>
    <row r="2319" spans="3:3">
      <c r="C2319" t="s">
        <v>2344</v>
      </c>
    </row>
    <row r="2320" spans="3:3">
      <c r="C2320" t="s">
        <v>2344</v>
      </c>
    </row>
    <row r="2321" spans="3:3">
      <c r="C2321" t="s">
        <v>467</v>
      </c>
    </row>
    <row r="2322" spans="3:3">
      <c r="C2322" t="s">
        <v>2345</v>
      </c>
    </row>
    <row r="2323" spans="3:3">
      <c r="C2323" t="s">
        <v>2346</v>
      </c>
    </row>
    <row r="2324" spans="3:3">
      <c r="C2324" t="s">
        <v>2347</v>
      </c>
    </row>
    <row r="2325" spans="3:3">
      <c r="C2325" t="s">
        <v>2348</v>
      </c>
    </row>
    <row r="2326" spans="3:3">
      <c r="C2326" t="s">
        <v>2349</v>
      </c>
    </row>
    <row r="2327" spans="3:3">
      <c r="C2327" t="s">
        <v>2350</v>
      </c>
    </row>
    <row r="2328" spans="3:3">
      <c r="C2328" t="s">
        <v>2351</v>
      </c>
    </row>
    <row r="2329" spans="3:3">
      <c r="C2329" t="s">
        <v>1706</v>
      </c>
    </row>
    <row r="2330" spans="3:3">
      <c r="C2330" t="s">
        <v>26</v>
      </c>
    </row>
    <row r="2331" spans="3:3">
      <c r="C2331" t="s">
        <v>466</v>
      </c>
    </row>
    <row r="2332" spans="3:3">
      <c r="C2332" t="s">
        <v>2352</v>
      </c>
    </row>
    <row r="2333" spans="3:3">
      <c r="C2333" t="s">
        <v>2353</v>
      </c>
    </row>
    <row r="2334" spans="3:3">
      <c r="C2334" t="s">
        <v>2347</v>
      </c>
    </row>
    <row r="2335" spans="3:3">
      <c r="C2335" t="s">
        <v>2348</v>
      </c>
    </row>
    <row r="2336" spans="3:3">
      <c r="C2336" t="s">
        <v>2354</v>
      </c>
    </row>
    <row r="2337" spans="3:3">
      <c r="C2337" t="s">
        <v>2355</v>
      </c>
    </row>
    <row r="2338" spans="3:3">
      <c r="C2338" t="s">
        <v>2356</v>
      </c>
    </row>
    <row r="2339" spans="3:3">
      <c r="C2339" t="s">
        <v>2357</v>
      </c>
    </row>
    <row r="2340" spans="3:3">
      <c r="C2340" t="s">
        <v>2318</v>
      </c>
    </row>
    <row r="2341" spans="3:3">
      <c r="C2341" t="s">
        <v>2302</v>
      </c>
    </row>
    <row r="2342" spans="3:3">
      <c r="C2342" t="s">
        <v>2358</v>
      </c>
    </row>
    <row r="2343" spans="3:3">
      <c r="C2343" t="s">
        <v>2</v>
      </c>
    </row>
    <row r="2344" spans="3:3">
      <c r="C2344" t="s">
        <v>2</v>
      </c>
    </row>
    <row r="2345" spans="3:3">
      <c r="C2345" t="s">
        <v>2359</v>
      </c>
    </row>
    <row r="2346" spans="3:3">
      <c r="C2346" t="s">
        <v>2360</v>
      </c>
    </row>
    <row r="2347" spans="3:3">
      <c r="C2347" t="s">
        <v>2361</v>
      </c>
    </row>
    <row r="2348" spans="3:3">
      <c r="C2348" t="s">
        <v>2362</v>
      </c>
    </row>
    <row r="2349" spans="3:3">
      <c r="C2349" t="s">
        <v>467</v>
      </c>
    </row>
    <row r="2350" spans="3:3">
      <c r="C2350" t="s">
        <v>2345</v>
      </c>
    </row>
    <row r="2351" spans="3:3">
      <c r="C2351" t="s">
        <v>2346</v>
      </c>
    </row>
    <row r="2352" spans="3:3">
      <c r="C2352" t="s">
        <v>2347</v>
      </c>
    </row>
    <row r="2353" spans="3:3">
      <c r="C2353" t="s">
        <v>2348</v>
      </c>
    </row>
    <row r="2354" spans="3:3">
      <c r="C2354" t="s">
        <v>2349</v>
      </c>
    </row>
    <row r="2355" spans="3:3">
      <c r="C2355" t="s">
        <v>2350</v>
      </c>
    </row>
    <row r="2356" spans="3:3">
      <c r="C2356" t="s">
        <v>2351</v>
      </c>
    </row>
    <row r="2357" spans="3:3">
      <c r="C2357" t="s">
        <v>1706</v>
      </c>
    </row>
    <row r="2358" spans="3:3">
      <c r="C2358" t="s">
        <v>2312</v>
      </c>
    </row>
    <row r="2359" spans="3:3">
      <c r="C2359" t="s">
        <v>2313</v>
      </c>
    </row>
    <row r="2360" spans="3:3">
      <c r="C2360" t="s">
        <v>2314</v>
      </c>
    </row>
    <row r="2361" spans="3:3">
      <c r="C2361" t="s">
        <v>1170</v>
      </c>
    </row>
    <row r="2362" spans="3:3">
      <c r="C2362" t="s">
        <v>813</v>
      </c>
    </row>
    <row r="2363" spans="3:3">
      <c r="C2363" t="s">
        <v>814</v>
      </c>
    </row>
    <row r="2364" spans="3:3">
      <c r="C2364" t="s">
        <v>319</v>
      </c>
    </row>
    <row r="2365" spans="3:3">
      <c r="C2365" t="s">
        <v>320</v>
      </c>
    </row>
    <row r="2366" spans="3:3">
      <c r="C2366">
        <v>45</v>
      </c>
    </row>
    <row r="2367" spans="3:3">
      <c r="C2367" t="s">
        <v>829</v>
      </c>
    </row>
    <row r="2368" spans="3:3">
      <c r="C2368" t="s">
        <v>472</v>
      </c>
    </row>
    <row r="2369" spans="3:3">
      <c r="C2369" t="s">
        <v>393</v>
      </c>
    </row>
    <row r="2370" spans="3:3">
      <c r="C2370" t="s">
        <v>47</v>
      </c>
    </row>
    <row r="2371" spans="3:3">
      <c r="C2371" t="s">
        <v>48</v>
      </c>
    </row>
    <row r="2372" spans="3:3">
      <c r="C2372" t="s">
        <v>324</v>
      </c>
    </row>
    <row r="2373" spans="3:3">
      <c r="C2373" t="s">
        <v>2363</v>
      </c>
    </row>
    <row r="2374" spans="3:3">
      <c r="C2374" t="s">
        <v>2364</v>
      </c>
    </row>
    <row r="2375" spans="3:3">
      <c r="C2375" t="s">
        <v>325</v>
      </c>
    </row>
    <row r="2376" spans="3:3">
      <c r="C2376" t="s">
        <v>71</v>
      </c>
    </row>
    <row r="2377" spans="3:3">
      <c r="C2377" t="s">
        <v>60</v>
      </c>
    </row>
    <row r="2378" spans="3:3">
      <c r="C2378" t="s">
        <v>1</v>
      </c>
    </row>
    <row r="2379" spans="3:3">
      <c r="C2379" t="s">
        <v>1006</v>
      </c>
    </row>
    <row r="2380" spans="3:3">
      <c r="C2380" t="s">
        <v>8</v>
      </c>
    </row>
    <row r="2381" spans="3:3">
      <c r="C2381" t="s">
        <v>2365</v>
      </c>
    </row>
    <row r="2382" spans="3:3">
      <c r="C2382" t="s">
        <v>136</v>
      </c>
    </row>
    <row r="2383" spans="3:3">
      <c r="C2383" t="s">
        <v>136</v>
      </c>
    </row>
    <row r="2384" spans="3:3">
      <c r="C2384" t="s">
        <v>326</v>
      </c>
    </row>
    <row r="2385" spans="3:3">
      <c r="C2385" t="s">
        <v>68</v>
      </c>
    </row>
    <row r="2386" spans="3:3">
      <c r="C2386" t="s">
        <v>68</v>
      </c>
    </row>
    <row r="2387" spans="3:3">
      <c r="C2387" t="s">
        <v>2366</v>
      </c>
    </row>
    <row r="2388" spans="3:3">
      <c r="C2388" t="s">
        <v>2367</v>
      </c>
    </row>
    <row r="2389" spans="3:3">
      <c r="C2389" t="s">
        <v>2368</v>
      </c>
    </row>
    <row r="2390" spans="3:3">
      <c r="C2390" t="s">
        <v>84</v>
      </c>
    </row>
    <row r="2391" spans="3:3">
      <c r="C2391" t="s">
        <v>2369</v>
      </c>
    </row>
    <row r="2392" spans="3:3">
      <c r="C2392" t="s">
        <v>2370</v>
      </c>
    </row>
    <row r="2393" spans="3:3">
      <c r="C2393" t="s">
        <v>2371</v>
      </c>
    </row>
    <row r="2394" spans="3:3">
      <c r="C2394" t="s">
        <v>2372</v>
      </c>
    </row>
    <row r="2395" spans="3:3">
      <c r="C2395" t="s">
        <v>2373</v>
      </c>
    </row>
    <row r="2396" spans="3:3">
      <c r="C2396" t="s">
        <v>2374</v>
      </c>
    </row>
    <row r="2397" spans="3:3">
      <c r="C2397" t="s">
        <v>473</v>
      </c>
    </row>
    <row r="2398" spans="3:3">
      <c r="C2398" t="s">
        <v>2375</v>
      </c>
    </row>
    <row r="2399" spans="3:3">
      <c r="C2399" t="s">
        <v>2376</v>
      </c>
    </row>
    <row r="2400" spans="3:3">
      <c r="C2400" t="s">
        <v>1191</v>
      </c>
    </row>
    <row r="2401" spans="3:3">
      <c r="C2401" t="s">
        <v>474</v>
      </c>
    </row>
    <row r="2402" spans="3:3">
      <c r="C2402" t="s">
        <v>1192</v>
      </c>
    </row>
    <row r="2403" spans="3:3">
      <c r="C2403" t="s">
        <v>740</v>
      </c>
    </row>
    <row r="2404" spans="3:3">
      <c r="C2404" t="s">
        <v>1193</v>
      </c>
    </row>
    <row r="2405" spans="3:3">
      <c r="C2405" t="s">
        <v>741</v>
      </c>
    </row>
    <row r="2406" spans="3:3">
      <c r="C2406" t="s">
        <v>742</v>
      </c>
    </row>
    <row r="2407" spans="3:3">
      <c r="C2407" t="s">
        <v>743</v>
      </c>
    </row>
    <row r="2408" spans="3:3">
      <c r="C2408" t="s">
        <v>744</v>
      </c>
    </row>
    <row r="2409" spans="3:3">
      <c r="C2409" t="s">
        <v>2377</v>
      </c>
    </row>
    <row r="2410" spans="3:3">
      <c r="C2410" t="s">
        <v>1194</v>
      </c>
    </row>
    <row r="2411" spans="3:3">
      <c r="C2411" t="s">
        <v>1195</v>
      </c>
    </row>
    <row r="2412" spans="3:3">
      <c r="C2412" t="s">
        <v>1196</v>
      </c>
    </row>
    <row r="2413" spans="3:3">
      <c r="C2413" t="s">
        <v>475</v>
      </c>
    </row>
    <row r="2414" spans="3:3">
      <c r="C2414" t="s">
        <v>2378</v>
      </c>
    </row>
    <row r="2415" spans="3:3">
      <c r="C2415" t="s">
        <v>1197</v>
      </c>
    </row>
    <row r="2416" spans="3:3">
      <c r="C2416" t="s">
        <v>2379</v>
      </c>
    </row>
    <row r="2417" spans="3:3">
      <c r="C2417" t="s">
        <v>1198</v>
      </c>
    </row>
    <row r="2418" spans="3:3">
      <c r="C2418" t="s">
        <v>813</v>
      </c>
    </row>
    <row r="2419" spans="3:3">
      <c r="C2419" t="s">
        <v>814</v>
      </c>
    </row>
    <row r="2420" spans="3:3">
      <c r="C2420" t="s">
        <v>319</v>
      </c>
    </row>
    <row r="2421" spans="3:3">
      <c r="C2421" t="s">
        <v>320</v>
      </c>
    </row>
    <row r="2422" spans="3:3">
      <c r="C2422">
        <v>46</v>
      </c>
    </row>
    <row r="2423" spans="3:3">
      <c r="C2423" t="s">
        <v>829</v>
      </c>
    </row>
    <row r="2424" spans="3:3">
      <c r="C2424" t="s">
        <v>415</v>
      </c>
    </row>
    <row r="2425" spans="3:3">
      <c r="C2425" t="s">
        <v>459</v>
      </c>
    </row>
    <row r="2426" spans="3:3">
      <c r="C2426" t="s">
        <v>1199</v>
      </c>
    </row>
    <row r="2427" spans="3:3">
      <c r="C2427" t="s">
        <v>476</v>
      </c>
    </row>
    <row r="2428" spans="3:3">
      <c r="C2428" t="s">
        <v>2380</v>
      </c>
    </row>
    <row r="2429" spans="3:3">
      <c r="C2429" t="s">
        <v>474</v>
      </c>
    </row>
    <row r="2430" spans="3:3">
      <c r="C2430" t="s">
        <v>45</v>
      </c>
    </row>
    <row r="2431" spans="3:3">
      <c r="C2431" t="s">
        <v>138</v>
      </c>
    </row>
    <row r="2432" spans="3:3">
      <c r="C2432" t="s">
        <v>2381</v>
      </c>
    </row>
    <row r="2433" spans="3:3">
      <c r="C2433" t="s">
        <v>1200</v>
      </c>
    </row>
    <row r="2434" spans="3:3">
      <c r="C2434" t="s">
        <v>1201</v>
      </c>
    </row>
    <row r="2435" spans="3:3">
      <c r="C2435" t="s">
        <v>1202</v>
      </c>
    </row>
    <row r="2436" spans="3:3">
      <c r="C2436" t="s">
        <v>477</v>
      </c>
    </row>
    <row r="2437" spans="3:3">
      <c r="C2437" t="s">
        <v>2382</v>
      </c>
    </row>
    <row r="2438" spans="3:3">
      <c r="C2438" t="s">
        <v>2383</v>
      </c>
    </row>
    <row r="2439" spans="3:3">
      <c r="C2439" t="s">
        <v>2384</v>
      </c>
    </row>
    <row r="2440" spans="3:3">
      <c r="C2440" t="s">
        <v>45</v>
      </c>
    </row>
    <row r="2441" spans="3:3">
      <c r="C2441" t="s">
        <v>138</v>
      </c>
    </row>
    <row r="2442" spans="3:3">
      <c r="C2442" t="s">
        <v>2381</v>
      </c>
    </row>
    <row r="2443" spans="3:3">
      <c r="C2443" t="s">
        <v>1200</v>
      </c>
    </row>
    <row r="2444" spans="3:3">
      <c r="C2444" t="s">
        <v>1201</v>
      </c>
    </row>
    <row r="2445" spans="3:3">
      <c r="C2445" t="s">
        <v>1202</v>
      </c>
    </row>
    <row r="2446" spans="3:3">
      <c r="C2446" t="s">
        <v>477</v>
      </c>
    </row>
    <row r="2447" spans="3:3">
      <c r="C2447" t="s">
        <v>80</v>
      </c>
    </row>
    <row r="2448" spans="3:3">
      <c r="C2448" t="s">
        <v>1769</v>
      </c>
    </row>
    <row r="2449" spans="3:3">
      <c r="C2449" t="s">
        <v>466</v>
      </c>
    </row>
    <row r="2450" spans="3:3">
      <c r="C2450" t="s">
        <v>53</v>
      </c>
    </row>
    <row r="2451" spans="3:3">
      <c r="C2451" t="s">
        <v>139</v>
      </c>
    </row>
    <row r="2452" spans="3:3">
      <c r="C2452" t="s">
        <v>230</v>
      </c>
    </row>
    <row r="2453" spans="3:3">
      <c r="C2453" t="s">
        <v>1208</v>
      </c>
    </row>
    <row r="2454" spans="3:3">
      <c r="C2454" t="s">
        <v>1203</v>
      </c>
    </row>
    <row r="2455" spans="3:3">
      <c r="C2455" t="s">
        <v>718</v>
      </c>
    </row>
    <row r="2456" spans="3:3">
      <c r="C2456" t="s">
        <v>1209</v>
      </c>
    </row>
    <row r="2457" spans="3:3">
      <c r="C2457" t="s">
        <v>1238</v>
      </c>
    </row>
    <row r="2458" spans="3:3">
      <c r="C2458" t="s">
        <v>141</v>
      </c>
    </row>
    <row r="2459" spans="3:3">
      <c r="C2459" t="s">
        <v>2</v>
      </c>
    </row>
    <row r="2460" spans="3:3">
      <c r="C2460" t="s">
        <v>2</v>
      </c>
    </row>
    <row r="2461" spans="3:3">
      <c r="C2461" t="s">
        <v>1210</v>
      </c>
    </row>
    <row r="2462" spans="3:3">
      <c r="C2462" t="s">
        <v>1211</v>
      </c>
    </row>
    <row r="2463" spans="3:3">
      <c r="C2463" t="s">
        <v>1212</v>
      </c>
    </row>
    <row r="2464" spans="3:3">
      <c r="C2464" t="s">
        <v>1213</v>
      </c>
    </row>
    <row r="2465" spans="3:3">
      <c r="C2465" t="s">
        <v>467</v>
      </c>
    </row>
    <row r="2466" spans="3:3">
      <c r="C2466" t="s">
        <v>137</v>
      </c>
    </row>
    <row r="2467" spans="3:3">
      <c r="C2467" t="s">
        <v>139</v>
      </c>
    </row>
    <row r="2468" spans="3:3">
      <c r="C2468" t="s">
        <v>230</v>
      </c>
    </row>
    <row r="2469" spans="3:3">
      <c r="C2469" t="s">
        <v>1171</v>
      </c>
    </row>
    <row r="2470" spans="3:3">
      <c r="C2470" t="s">
        <v>142</v>
      </c>
    </row>
    <row r="2471" spans="3:3">
      <c r="C2471" t="s">
        <v>1207</v>
      </c>
    </row>
    <row r="2472" spans="3:3">
      <c r="C2472" t="s">
        <v>990</v>
      </c>
    </row>
    <row r="2473" spans="3:3">
      <c r="C2473" t="s">
        <v>468</v>
      </c>
    </row>
    <row r="2474" spans="3:3">
      <c r="C2474" t="s">
        <v>2</v>
      </c>
    </row>
    <row r="2475" spans="3:3">
      <c r="C2475" t="s">
        <v>2</v>
      </c>
    </row>
    <row r="2476" spans="3:3">
      <c r="C2476" t="s">
        <v>2385</v>
      </c>
    </row>
    <row r="2477" spans="3:3">
      <c r="C2477" t="s">
        <v>2</v>
      </c>
    </row>
    <row r="2478" spans="3:3">
      <c r="C2478" t="s">
        <v>2</v>
      </c>
    </row>
    <row r="2479" spans="3:3">
      <c r="C2479" t="s">
        <v>802</v>
      </c>
    </row>
    <row r="2480" spans="3:3">
      <c r="C2480" t="s">
        <v>2386</v>
      </c>
    </row>
    <row r="2481" spans="3:3">
      <c r="C2481" t="s">
        <v>469</v>
      </c>
    </row>
    <row r="2482" spans="3:3">
      <c r="C2482" t="s">
        <v>2</v>
      </c>
    </row>
    <row r="2483" spans="3:3">
      <c r="C2483" t="s">
        <v>2387</v>
      </c>
    </row>
    <row r="2484" spans="3:3">
      <c r="C2484" t="s">
        <v>2</v>
      </c>
    </row>
    <row r="2485" spans="3:3">
      <c r="C2485" t="s">
        <v>2</v>
      </c>
    </row>
    <row r="2486" spans="3:3">
      <c r="C2486" t="s">
        <v>2</v>
      </c>
    </row>
    <row r="2487" spans="3:3">
      <c r="C2487" t="s">
        <v>771</v>
      </c>
    </row>
    <row r="2488" spans="3:3">
      <c r="C2488" t="s">
        <v>2388</v>
      </c>
    </row>
    <row r="2489" spans="3:3">
      <c r="C2489" t="s">
        <v>1206</v>
      </c>
    </row>
    <row r="2490" spans="3:3">
      <c r="C2490" t="s">
        <v>2</v>
      </c>
    </row>
    <row r="2491" spans="3:3">
      <c r="C2491" t="s">
        <v>2</v>
      </c>
    </row>
    <row r="2492" spans="3:3">
      <c r="C2492" t="s">
        <v>2</v>
      </c>
    </row>
    <row r="2493" spans="3:3">
      <c r="C2493" t="s">
        <v>778</v>
      </c>
    </row>
    <row r="2494" spans="3:3">
      <c r="C2494" t="s">
        <v>31</v>
      </c>
    </row>
    <row r="2495" spans="3:3">
      <c r="C2495" t="s">
        <v>2389</v>
      </c>
    </row>
    <row r="2496" spans="3:3">
      <c r="C2496" t="s">
        <v>2</v>
      </c>
    </row>
    <row r="2497" spans="3:3">
      <c r="C2497" t="s">
        <v>813</v>
      </c>
    </row>
    <row r="2498" spans="3:3">
      <c r="C2498" t="s">
        <v>814</v>
      </c>
    </row>
    <row r="2499" spans="3:3">
      <c r="C2499" t="s">
        <v>319</v>
      </c>
    </row>
    <row r="2500" spans="3:3">
      <c r="C2500" t="s">
        <v>320</v>
      </c>
    </row>
    <row r="2501" spans="3:3">
      <c r="C2501">
        <v>47</v>
      </c>
    </row>
    <row r="2502" spans="3:3">
      <c r="C2502" t="s">
        <v>829</v>
      </c>
    </row>
    <row r="2503" spans="3:3">
      <c r="C2503" t="s">
        <v>45</v>
      </c>
    </row>
    <row r="2504" spans="3:3">
      <c r="C2504" t="s">
        <v>138</v>
      </c>
    </row>
    <row r="2505" spans="3:3">
      <c r="C2505" t="s">
        <v>2381</v>
      </c>
    </row>
    <row r="2506" spans="3:3">
      <c r="C2506" t="s">
        <v>1200</v>
      </c>
    </row>
    <row r="2507" spans="3:3">
      <c r="C2507" t="s">
        <v>1201</v>
      </c>
    </row>
    <row r="2508" spans="3:3">
      <c r="C2508" t="s">
        <v>1202</v>
      </c>
    </row>
    <row r="2509" spans="3:3">
      <c r="C2509" t="s">
        <v>477</v>
      </c>
    </row>
    <row r="2510" spans="3:3">
      <c r="C2510" t="s">
        <v>80</v>
      </c>
    </row>
    <row r="2511" spans="3:3">
      <c r="C2511" t="s">
        <v>130</v>
      </c>
    </row>
    <row r="2512" spans="3:3">
      <c r="C2512" t="s">
        <v>2</v>
      </c>
    </row>
    <row r="2513" spans="3:3">
      <c r="C2513" t="s">
        <v>1153</v>
      </c>
    </row>
    <row r="2514" spans="3:3">
      <c r="C2514" t="s">
        <v>2</v>
      </c>
    </row>
    <row r="2515" spans="3:3">
      <c r="C2515" t="s">
        <v>2</v>
      </c>
    </row>
    <row r="2516" spans="3:3">
      <c r="C2516" t="s">
        <v>2</v>
      </c>
    </row>
    <row r="2517" spans="3:3">
      <c r="C2517" t="s">
        <v>143</v>
      </c>
    </row>
    <row r="2518" spans="3:3">
      <c r="C2518" t="s">
        <v>72</v>
      </c>
    </row>
    <row r="2519" spans="3:3">
      <c r="C2519" t="s">
        <v>134</v>
      </c>
    </row>
    <row r="2520" spans="3:3">
      <c r="C2520" t="s">
        <v>133</v>
      </c>
    </row>
    <row r="2521" spans="3:3">
      <c r="C2521" t="s">
        <v>2</v>
      </c>
    </row>
    <row r="2522" spans="3:3">
      <c r="C2522" t="s">
        <v>2</v>
      </c>
    </row>
    <row r="2523" spans="3:3">
      <c r="C2523" t="s">
        <v>2390</v>
      </c>
    </row>
    <row r="2524" spans="3:3">
      <c r="C2524" t="s">
        <v>755</v>
      </c>
    </row>
    <row r="2525" spans="3:3">
      <c r="C2525" t="s">
        <v>163</v>
      </c>
    </row>
    <row r="2526" spans="3:3">
      <c r="C2526" t="s">
        <v>2391</v>
      </c>
    </row>
    <row r="2527" spans="3:3">
      <c r="C2527" t="s">
        <v>486</v>
      </c>
    </row>
    <row r="2528" spans="3:3">
      <c r="C2528">
        <v>7.4</v>
      </c>
    </row>
    <row r="2529" spans="3:3">
      <c r="C2529" t="s">
        <v>2</v>
      </c>
    </row>
    <row r="2530" spans="3:3">
      <c r="C2530" t="s">
        <v>2</v>
      </c>
    </row>
    <row r="2531" spans="3:3">
      <c r="C2531" t="s">
        <v>2</v>
      </c>
    </row>
    <row r="2532" spans="3:3">
      <c r="C2532" t="s">
        <v>2</v>
      </c>
    </row>
    <row r="2533" spans="3:3">
      <c r="C2533" t="s">
        <v>2</v>
      </c>
    </row>
    <row r="2534" spans="3:3">
      <c r="C2534" t="s">
        <v>2392</v>
      </c>
    </row>
    <row r="2535" spans="3:3">
      <c r="C2535" t="s">
        <v>2392</v>
      </c>
    </row>
    <row r="2536" spans="3:3">
      <c r="C2536" t="s">
        <v>467</v>
      </c>
    </row>
    <row r="2537" spans="3:3">
      <c r="C2537" t="s">
        <v>1047</v>
      </c>
    </row>
    <row r="2538" spans="3:3">
      <c r="C2538" t="s">
        <v>59</v>
      </c>
    </row>
    <row r="2539" spans="3:3">
      <c r="C2539" t="s">
        <v>2393</v>
      </c>
    </row>
    <row r="2540" spans="3:3">
      <c r="C2540" t="s">
        <v>2394</v>
      </c>
    </row>
    <row r="2541" spans="3:3">
      <c r="C2541" t="s">
        <v>2395</v>
      </c>
    </row>
    <row r="2542" spans="3:3">
      <c r="C2542" t="s">
        <v>137</v>
      </c>
    </row>
    <row r="2543" spans="3:3">
      <c r="C2543" t="s">
        <v>1708</v>
      </c>
    </row>
    <row r="2544" spans="3:3">
      <c r="C2544" t="s">
        <v>26</v>
      </c>
    </row>
    <row r="2545" spans="3:3">
      <c r="C2545" t="s">
        <v>466</v>
      </c>
    </row>
    <row r="2546" spans="3:3">
      <c r="C2546" t="s">
        <v>53</v>
      </c>
    </row>
    <row r="2547" spans="3:3">
      <c r="C2547" t="s">
        <v>59</v>
      </c>
    </row>
    <row r="2548" spans="3:3">
      <c r="C2548" t="s">
        <v>2393</v>
      </c>
    </row>
    <row r="2549" spans="3:3">
      <c r="C2549" t="s">
        <v>86</v>
      </c>
    </row>
    <row r="2550" spans="3:3">
      <c r="C2550" t="s">
        <v>2396</v>
      </c>
    </row>
    <row r="2551" spans="3:3">
      <c r="C2551" t="s">
        <v>731</v>
      </c>
    </row>
    <row r="2552" spans="3:3">
      <c r="C2552" t="s">
        <v>2397</v>
      </c>
    </row>
    <row r="2553" spans="3:3">
      <c r="C2553" t="s">
        <v>1238</v>
      </c>
    </row>
    <row r="2554" spans="3:3">
      <c r="C2554" t="s">
        <v>144</v>
      </c>
    </row>
    <row r="2555" spans="3:3">
      <c r="C2555" t="s">
        <v>2</v>
      </c>
    </row>
    <row r="2556" spans="3:3">
      <c r="C2556" t="s">
        <v>2</v>
      </c>
    </row>
    <row r="2557" spans="3:3">
      <c r="C2557" t="s">
        <v>2398</v>
      </c>
    </row>
    <row r="2558" spans="3:3">
      <c r="C2558" t="s">
        <v>187</v>
      </c>
    </row>
    <row r="2559" spans="3:3">
      <c r="C2559" t="s">
        <v>2399</v>
      </c>
    </row>
    <row r="2560" spans="3:3">
      <c r="C2560" t="s">
        <v>2400</v>
      </c>
    </row>
    <row r="2561" spans="3:3">
      <c r="C2561" t="s">
        <v>467</v>
      </c>
    </row>
    <row r="2562" spans="3:3">
      <c r="C2562" t="s">
        <v>1047</v>
      </c>
    </row>
    <row r="2563" spans="3:3">
      <c r="C2563" t="s">
        <v>59</v>
      </c>
    </row>
    <row r="2564" spans="3:3">
      <c r="C2564" t="s">
        <v>2393</v>
      </c>
    </row>
    <row r="2565" spans="3:3">
      <c r="C2565" t="s">
        <v>2394</v>
      </c>
    </row>
    <row r="2566" spans="3:3">
      <c r="C2566" t="s">
        <v>2395</v>
      </c>
    </row>
    <row r="2567" spans="3:3">
      <c r="C2567" t="s">
        <v>137</v>
      </c>
    </row>
    <row r="2568" spans="3:3">
      <c r="C2568" t="s">
        <v>1708</v>
      </c>
    </row>
    <row r="2569" spans="3:3">
      <c r="C2569" t="s">
        <v>2383</v>
      </c>
    </row>
    <row r="2570" spans="3:3">
      <c r="C2570" t="s">
        <v>2384</v>
      </c>
    </row>
    <row r="2571" spans="3:3">
      <c r="C2571" t="s">
        <v>478</v>
      </c>
    </row>
    <row r="2572" spans="3:3">
      <c r="C2572" t="s">
        <v>393</v>
      </c>
    </row>
    <row r="2573" spans="3:3">
      <c r="C2573" t="s">
        <v>47</v>
      </c>
    </row>
    <row r="2574" spans="3:3">
      <c r="C2574" t="s">
        <v>48</v>
      </c>
    </row>
    <row r="2575" spans="3:3">
      <c r="C2575" t="s">
        <v>2401</v>
      </c>
    </row>
    <row r="2576" spans="3:3">
      <c r="C2576" t="s">
        <v>2402</v>
      </c>
    </row>
    <row r="2577" spans="3:3">
      <c r="C2577" t="s">
        <v>2403</v>
      </c>
    </row>
    <row r="2578" spans="3:3">
      <c r="C2578" t="s">
        <v>479</v>
      </c>
    </row>
    <row r="2579" spans="3:3">
      <c r="C2579" t="s">
        <v>1214</v>
      </c>
    </row>
    <row r="2580" spans="3:3">
      <c r="C2580">
        <v>2024</v>
      </c>
    </row>
    <row r="2581" spans="3:3">
      <c r="C2581">
        <v>2023</v>
      </c>
    </row>
    <row r="2582" spans="3:3">
      <c r="C2582" t="s">
        <v>2404</v>
      </c>
    </row>
    <row r="2583" spans="3:3">
      <c r="C2583" t="s">
        <v>2405</v>
      </c>
    </row>
    <row r="2584" spans="3:3">
      <c r="C2584" t="s">
        <v>2406</v>
      </c>
    </row>
    <row r="2585" spans="3:3">
      <c r="C2585" t="s">
        <v>2407</v>
      </c>
    </row>
    <row r="2586" spans="3:3">
      <c r="C2586" t="s">
        <v>1215</v>
      </c>
    </row>
    <row r="2587" spans="3:3">
      <c r="C2587" t="s">
        <v>480</v>
      </c>
    </row>
    <row r="2588" spans="3:3">
      <c r="C2588" t="s">
        <v>1216</v>
      </c>
    </row>
    <row r="2589" spans="3:3">
      <c r="C2589" t="s">
        <v>1217</v>
      </c>
    </row>
    <row r="2590" spans="3:3">
      <c r="C2590" t="s">
        <v>481</v>
      </c>
    </row>
    <row r="2591" spans="3:3">
      <c r="C2591" t="s">
        <v>747</v>
      </c>
    </row>
    <row r="2592" spans="3:3">
      <c r="C2592" t="s">
        <v>748</v>
      </c>
    </row>
    <row r="2593" spans="3:3">
      <c r="C2593" t="s">
        <v>749</v>
      </c>
    </row>
    <row r="2594" spans="3:3">
      <c r="C2594" t="s">
        <v>750</v>
      </c>
    </row>
    <row r="2595" spans="3:3">
      <c r="C2595" t="s">
        <v>813</v>
      </c>
    </row>
    <row r="2596" spans="3:3">
      <c r="C2596" t="s">
        <v>814</v>
      </c>
    </row>
    <row r="2597" spans="3:3">
      <c r="C2597" t="s">
        <v>319</v>
      </c>
    </row>
    <row r="2598" spans="3:3">
      <c r="C2598" t="s">
        <v>320</v>
      </c>
    </row>
    <row r="2599" spans="3:3">
      <c r="C2599">
        <v>48</v>
      </c>
    </row>
    <row r="2600" spans="3:3">
      <c r="C2600" t="s">
        <v>829</v>
      </c>
    </row>
    <row r="2601" spans="3:3">
      <c r="C2601" t="s">
        <v>458</v>
      </c>
    </row>
    <row r="2602" spans="3:3">
      <c r="C2602" t="s">
        <v>1218</v>
      </c>
    </row>
    <row r="2603" spans="3:3">
      <c r="C2603" t="s">
        <v>1219</v>
      </c>
    </row>
    <row r="2604" spans="3:3">
      <c r="C2604" t="s">
        <v>482</v>
      </c>
    </row>
    <row r="2605" spans="3:3">
      <c r="C2605" t="s">
        <v>1220</v>
      </c>
    </row>
    <row r="2606" spans="3:3">
      <c r="C2606" t="s">
        <v>1221</v>
      </c>
    </row>
    <row r="2607" spans="3:3">
      <c r="C2607" t="s">
        <v>1222</v>
      </c>
    </row>
    <row r="2608" spans="3:3">
      <c r="C2608" t="s">
        <v>751</v>
      </c>
    </row>
    <row r="2609" spans="3:3">
      <c r="C2609" t="s">
        <v>2408</v>
      </c>
    </row>
    <row r="2610" spans="3:3">
      <c r="C2610" t="s">
        <v>1223</v>
      </c>
    </row>
    <row r="2611" spans="3:3">
      <c r="C2611" t="s">
        <v>1224</v>
      </c>
    </row>
    <row r="2612" spans="3:3">
      <c r="C2612" t="s">
        <v>752</v>
      </c>
    </row>
    <row r="2613" spans="3:3">
      <c r="C2613" t="s">
        <v>753</v>
      </c>
    </row>
    <row r="2614" spans="3:3">
      <c r="C2614" t="s">
        <v>483</v>
      </c>
    </row>
    <row r="2615" spans="3:3">
      <c r="C2615" t="s">
        <v>1225</v>
      </c>
    </row>
    <row r="2616" spans="3:3">
      <c r="C2616" t="s">
        <v>415</v>
      </c>
    </row>
    <row r="2617" spans="3:3">
      <c r="C2617" t="s">
        <v>459</v>
      </c>
    </row>
    <row r="2618" spans="3:3">
      <c r="C2618" t="s">
        <v>1226</v>
      </c>
    </row>
    <row r="2619" spans="3:3">
      <c r="C2619" t="s">
        <v>480</v>
      </c>
    </row>
    <row r="2620" spans="3:3">
      <c r="C2620" t="s">
        <v>45</v>
      </c>
    </row>
    <row r="2621" spans="3:3">
      <c r="C2621" t="s">
        <v>124</v>
      </c>
    </row>
    <row r="2622" spans="3:3">
      <c r="C2622" t="s">
        <v>125</v>
      </c>
    </row>
    <row r="2623" spans="3:3">
      <c r="C2623" t="s">
        <v>464</v>
      </c>
    </row>
    <row r="2624" spans="3:3">
      <c r="C2624" t="s">
        <v>465</v>
      </c>
    </row>
    <row r="2625" spans="3:3">
      <c r="C2625" t="s">
        <v>484</v>
      </c>
    </row>
    <row r="2626" spans="3:3">
      <c r="C2626" t="s">
        <v>2409</v>
      </c>
    </row>
    <row r="2627" spans="3:3">
      <c r="C2627" t="s">
        <v>813</v>
      </c>
    </row>
    <row r="2628" spans="3:3">
      <c r="C2628" t="s">
        <v>814</v>
      </c>
    </row>
    <row r="2629" spans="3:3">
      <c r="C2629" t="s">
        <v>319</v>
      </c>
    </row>
    <row r="2630" spans="3:3">
      <c r="C2630" t="s">
        <v>320</v>
      </c>
    </row>
    <row r="2631" spans="3:3">
      <c r="C2631">
        <v>49</v>
      </c>
    </row>
    <row r="2632" spans="3:3">
      <c r="C2632" t="s">
        <v>829</v>
      </c>
    </row>
    <row r="2633" spans="3:3">
      <c r="C2633" t="s">
        <v>45</v>
      </c>
    </row>
    <row r="2634" spans="3:3">
      <c r="C2634" t="s">
        <v>124</v>
      </c>
    </row>
    <row r="2635" spans="3:3">
      <c r="C2635" t="s">
        <v>125</v>
      </c>
    </row>
    <row r="2636" spans="3:3">
      <c r="C2636" t="s">
        <v>464</v>
      </c>
    </row>
    <row r="2637" spans="3:3">
      <c r="C2637" t="s">
        <v>465</v>
      </c>
    </row>
    <row r="2638" spans="3:3">
      <c r="C2638" t="s">
        <v>484</v>
      </c>
    </row>
    <row r="2639" spans="3:3">
      <c r="C2639" t="s">
        <v>2410</v>
      </c>
    </row>
    <row r="2640" spans="3:3">
      <c r="C2640" t="s">
        <v>485</v>
      </c>
    </row>
    <row r="2641" spans="3:3">
      <c r="C2641" t="s">
        <v>45</v>
      </c>
    </row>
    <row r="2642" spans="3:3">
      <c r="C2642" t="s">
        <v>124</v>
      </c>
    </row>
    <row r="2643" spans="3:3">
      <c r="C2643" t="s">
        <v>125</v>
      </c>
    </row>
    <row r="2644" spans="3:3">
      <c r="C2644" t="s">
        <v>464</v>
      </c>
    </row>
    <row r="2645" spans="3:3">
      <c r="C2645" t="s">
        <v>465</v>
      </c>
    </row>
    <row r="2646" spans="3:3">
      <c r="C2646" t="s">
        <v>484</v>
      </c>
    </row>
    <row r="2647" spans="3:3">
      <c r="C2647" t="s">
        <v>80</v>
      </c>
    </row>
    <row r="2648" spans="3:3">
      <c r="C2648" t="s">
        <v>1769</v>
      </c>
    </row>
    <row r="2649" spans="3:3">
      <c r="C2649" t="s">
        <v>466</v>
      </c>
    </row>
    <row r="2650" spans="3:3">
      <c r="C2650" t="s">
        <v>768</v>
      </c>
    </row>
    <row r="2651" spans="3:3">
      <c r="C2651" t="s">
        <v>882</v>
      </c>
    </row>
    <row r="2652" spans="3:3">
      <c r="C2652" t="s">
        <v>1234</v>
      </c>
    </row>
    <row r="2653" spans="3:3">
      <c r="C2653" t="s">
        <v>1235</v>
      </c>
    </row>
    <row r="2654" spans="3:3">
      <c r="C2654" t="s">
        <v>1236</v>
      </c>
    </row>
    <row r="2655" spans="3:3">
      <c r="C2655" t="s">
        <v>1237</v>
      </c>
    </row>
    <row r="2656" spans="3:3">
      <c r="C2656" t="s">
        <v>148</v>
      </c>
    </row>
    <row r="2657" spans="3:3">
      <c r="C2657" t="s">
        <v>153</v>
      </c>
    </row>
    <row r="2658" spans="3:3">
      <c r="C2658" t="s">
        <v>1239</v>
      </c>
    </row>
    <row r="2659" spans="3:3">
      <c r="C2659" t="s">
        <v>1240</v>
      </c>
    </row>
    <row r="2660" spans="3:3">
      <c r="C2660" t="s">
        <v>779</v>
      </c>
    </row>
    <row r="2661" spans="3:3">
      <c r="C2661" t="s">
        <v>1241</v>
      </c>
    </row>
    <row r="2662" spans="3:3">
      <c r="C2662" t="s">
        <v>1242</v>
      </c>
    </row>
    <row r="2663" spans="3:3">
      <c r="C2663" t="s">
        <v>467</v>
      </c>
    </row>
    <row r="2664" spans="3:3">
      <c r="C2664" t="s">
        <v>810</v>
      </c>
    </row>
    <row r="2665" spans="3:3">
      <c r="C2665" t="s">
        <v>24</v>
      </c>
    </row>
    <row r="2666" spans="3:3">
      <c r="C2666" t="s">
        <v>1231</v>
      </c>
    </row>
    <row r="2667" spans="3:3">
      <c r="C2667" t="s">
        <v>231</v>
      </c>
    </row>
    <row r="2668" spans="3:3">
      <c r="C2668" t="s">
        <v>1232</v>
      </c>
    </row>
    <row r="2669" spans="3:3">
      <c r="C2669" t="s">
        <v>1233</v>
      </c>
    </row>
    <row r="2670" spans="3:3">
      <c r="C2670" t="s">
        <v>149</v>
      </c>
    </row>
    <row r="2671" spans="3:3">
      <c r="C2671" t="s">
        <v>68</v>
      </c>
    </row>
    <row r="2672" spans="3:3">
      <c r="C2672" t="s">
        <v>211</v>
      </c>
    </row>
    <row r="2673" spans="3:3">
      <c r="C2673" t="s">
        <v>2411</v>
      </c>
    </row>
    <row r="2674" spans="3:3">
      <c r="C2674" t="s">
        <v>2412</v>
      </c>
    </row>
    <row r="2675" spans="3:3">
      <c r="C2675" t="s">
        <v>60</v>
      </c>
    </row>
    <row r="2676" spans="3:3">
      <c r="C2676" t="s">
        <v>2292</v>
      </c>
    </row>
    <row r="2677" spans="3:3">
      <c r="C2677" t="s">
        <v>446</v>
      </c>
    </row>
    <row r="2678" spans="3:3">
      <c r="C2678" t="s">
        <v>214</v>
      </c>
    </row>
    <row r="2679" spans="3:3">
      <c r="C2679" t="s">
        <v>136</v>
      </c>
    </row>
    <row r="2680" spans="3:3">
      <c r="C2680" t="s">
        <v>133</v>
      </c>
    </row>
    <row r="2681" spans="3:3">
      <c r="C2681" t="s">
        <v>2</v>
      </c>
    </row>
    <row r="2682" spans="3:3">
      <c r="C2682" t="s">
        <v>214</v>
      </c>
    </row>
    <row r="2683" spans="3:3">
      <c r="C2683" t="s">
        <v>1999</v>
      </c>
    </row>
    <row r="2684" spans="3:3">
      <c r="C2684" t="s">
        <v>1227</v>
      </c>
    </row>
    <row r="2685" spans="3:3">
      <c r="C2685" t="s">
        <v>136</v>
      </c>
    </row>
    <row r="2686" spans="3:3">
      <c r="C2686" t="s">
        <v>2</v>
      </c>
    </row>
    <row r="2687" spans="3:3">
      <c r="C2687" t="s">
        <v>2</v>
      </c>
    </row>
    <row r="2688" spans="3:3">
      <c r="C2688" t="s">
        <v>2</v>
      </c>
    </row>
    <row r="2689" spans="3:3">
      <c r="C2689" t="s">
        <v>49</v>
      </c>
    </row>
    <row r="2690" spans="3:3">
      <c r="C2690" t="s">
        <v>30</v>
      </c>
    </row>
    <row r="2691" spans="3:3">
      <c r="C2691" t="s">
        <v>134</v>
      </c>
    </row>
    <row r="2692" spans="3:3">
      <c r="C2692" t="s">
        <v>143</v>
      </c>
    </row>
    <row r="2693" spans="3:3">
      <c r="C2693" t="s">
        <v>131</v>
      </c>
    </row>
    <row r="2694" spans="3:3">
      <c r="C2694" t="s">
        <v>2413</v>
      </c>
    </row>
    <row r="2695" spans="3:3">
      <c r="C2695" t="s">
        <v>2414</v>
      </c>
    </row>
    <row r="2696" spans="3:3">
      <c r="C2696" t="s">
        <v>866</v>
      </c>
    </row>
    <row r="2697" spans="3:3">
      <c r="C2697" t="s">
        <v>2415</v>
      </c>
    </row>
    <row r="2698" spans="3:3">
      <c r="C2698" t="s">
        <v>1228</v>
      </c>
    </row>
    <row r="2699" spans="3:3">
      <c r="C2699" t="s">
        <v>2</v>
      </c>
    </row>
    <row r="2700" spans="3:3">
      <c r="C2700" t="s">
        <v>236</v>
      </c>
    </row>
    <row r="2701" spans="3:3">
      <c r="C2701" t="s">
        <v>236</v>
      </c>
    </row>
    <row r="2702" spans="3:3">
      <c r="C2702" t="s">
        <v>131</v>
      </c>
    </row>
    <row r="2703" spans="3:3">
      <c r="C2703" t="s">
        <v>257</v>
      </c>
    </row>
    <row r="2704" spans="3:3">
      <c r="C2704" t="s">
        <v>2416</v>
      </c>
    </row>
    <row r="2705" spans="3:3">
      <c r="C2705" t="s">
        <v>486</v>
      </c>
    </row>
    <row r="2706" spans="3:3">
      <c r="C2706">
        <v>7.4</v>
      </c>
    </row>
    <row r="2707" spans="3:3">
      <c r="C2707" t="s">
        <v>2</v>
      </c>
    </row>
    <row r="2708" spans="3:3">
      <c r="C2708" t="s">
        <v>36</v>
      </c>
    </row>
    <row r="2709" spans="3:3">
      <c r="C2709" t="s">
        <v>2417</v>
      </c>
    </row>
    <row r="2710" spans="3:3">
      <c r="C2710" t="s">
        <v>2</v>
      </c>
    </row>
    <row r="2711" spans="3:3">
      <c r="C2711" t="s">
        <v>37</v>
      </c>
    </row>
    <row r="2712" spans="3:3">
      <c r="C2712" t="s">
        <v>779</v>
      </c>
    </row>
    <row r="2713" spans="3:3">
      <c r="C2713" t="s">
        <v>471</v>
      </c>
    </row>
    <row r="2714" spans="3:3">
      <c r="C2714">
        <v>7.4</v>
      </c>
    </row>
    <row r="2715" spans="3:3">
      <c r="C2715" t="s">
        <v>2</v>
      </c>
    </row>
    <row r="2716" spans="3:3">
      <c r="C2716" t="s">
        <v>2</v>
      </c>
    </row>
    <row r="2717" spans="3:3">
      <c r="C2717" t="s">
        <v>136</v>
      </c>
    </row>
    <row r="2718" spans="3:3">
      <c r="C2718" t="s">
        <v>2</v>
      </c>
    </row>
    <row r="2719" spans="3:3">
      <c r="C2719" t="s">
        <v>155</v>
      </c>
    </row>
    <row r="2720" spans="3:3">
      <c r="C2720" t="s">
        <v>68</v>
      </c>
    </row>
    <row r="2721" spans="3:3">
      <c r="C2721" t="s">
        <v>2418</v>
      </c>
    </row>
    <row r="2722" spans="3:3">
      <c r="C2722" t="s">
        <v>2</v>
      </c>
    </row>
    <row r="2723" spans="3:3">
      <c r="C2723" t="s">
        <v>2</v>
      </c>
    </row>
    <row r="2724" spans="3:3">
      <c r="C2724" t="s">
        <v>2</v>
      </c>
    </row>
    <row r="2725" spans="3:3">
      <c r="C2725" t="s">
        <v>2</v>
      </c>
    </row>
    <row r="2726" spans="3:3">
      <c r="C2726" t="s">
        <v>2069</v>
      </c>
    </row>
    <row r="2727" spans="3:3">
      <c r="C2727" t="s">
        <v>2069</v>
      </c>
    </row>
    <row r="2728" spans="3:3">
      <c r="C2728" t="s">
        <v>467</v>
      </c>
    </row>
    <row r="2729" spans="3:3">
      <c r="C2729" t="s">
        <v>2419</v>
      </c>
    </row>
    <row r="2730" spans="3:3">
      <c r="C2730" t="s">
        <v>34</v>
      </c>
    </row>
    <row r="2731" spans="3:3">
      <c r="C2731" t="s">
        <v>2420</v>
      </c>
    </row>
    <row r="2732" spans="3:3">
      <c r="C2732" t="s">
        <v>2324</v>
      </c>
    </row>
    <row r="2733" spans="3:3">
      <c r="C2733" t="s">
        <v>2421</v>
      </c>
    </row>
    <row r="2734" spans="3:3">
      <c r="C2734" t="s">
        <v>1711</v>
      </c>
    </row>
    <row r="2735" spans="3:3">
      <c r="C2735" t="s">
        <v>26</v>
      </c>
    </row>
    <row r="2736" spans="3:3">
      <c r="C2736" t="s">
        <v>466</v>
      </c>
    </row>
    <row r="2737" spans="3:3">
      <c r="C2737" t="s">
        <v>2422</v>
      </c>
    </row>
    <row r="2738" spans="3:3">
      <c r="C2738" t="s">
        <v>739</v>
      </c>
    </row>
    <row r="2739" spans="3:3">
      <c r="C2739" t="s">
        <v>2423</v>
      </c>
    </row>
    <row r="2740" spans="3:3">
      <c r="C2740" t="s">
        <v>2424</v>
      </c>
    </row>
    <row r="2741" spans="3:3">
      <c r="C2741" t="s">
        <v>2425</v>
      </c>
    </row>
    <row r="2742" spans="3:3">
      <c r="C2742" t="s">
        <v>2426</v>
      </c>
    </row>
    <row r="2743" spans="3:3">
      <c r="C2743" t="s">
        <v>1238</v>
      </c>
    </row>
    <row r="2744" spans="3:3">
      <c r="C2744" t="s">
        <v>28</v>
      </c>
    </row>
    <row r="2745" spans="3:3">
      <c r="C2745" t="s">
        <v>866</v>
      </c>
    </row>
    <row r="2746" spans="3:3">
      <c r="C2746" t="s">
        <v>1669</v>
      </c>
    </row>
    <row r="2747" spans="3:3">
      <c r="C2747" t="s">
        <v>2427</v>
      </c>
    </row>
    <row r="2748" spans="3:3">
      <c r="C2748" t="s">
        <v>2428</v>
      </c>
    </row>
    <row r="2749" spans="3:3">
      <c r="C2749" t="s">
        <v>2429</v>
      </c>
    </row>
    <row r="2750" spans="3:3">
      <c r="C2750" t="s">
        <v>467</v>
      </c>
    </row>
    <row r="2751" spans="3:3">
      <c r="C2751" t="s">
        <v>2419</v>
      </c>
    </row>
    <row r="2752" spans="3:3">
      <c r="C2752" t="s">
        <v>34</v>
      </c>
    </row>
    <row r="2753" spans="3:3">
      <c r="C2753" t="s">
        <v>2420</v>
      </c>
    </row>
    <row r="2754" spans="3:3">
      <c r="C2754" t="s">
        <v>2324</v>
      </c>
    </row>
    <row r="2755" spans="3:3">
      <c r="C2755" t="s">
        <v>2421</v>
      </c>
    </row>
    <row r="2756" spans="3:3">
      <c r="C2756" t="s">
        <v>1711</v>
      </c>
    </row>
    <row r="2757" spans="3:3">
      <c r="C2757" t="s">
        <v>485</v>
      </c>
    </row>
    <row r="2758" spans="3:3">
      <c r="C2758" t="s">
        <v>2430</v>
      </c>
    </row>
    <row r="2759" spans="3:3">
      <c r="C2759" t="s">
        <v>487</v>
      </c>
    </row>
    <row r="2760" spans="3:3">
      <c r="C2760" t="s">
        <v>393</v>
      </c>
    </row>
    <row r="2761" spans="3:3">
      <c r="C2761" t="s">
        <v>47</v>
      </c>
    </row>
    <row r="2762" spans="3:3">
      <c r="C2762" t="s">
        <v>48</v>
      </c>
    </row>
    <row r="2763" spans="3:3">
      <c r="C2763" t="s">
        <v>2431</v>
      </c>
    </row>
    <row r="2764" spans="3:3">
      <c r="C2764" t="s">
        <v>1243</v>
      </c>
    </row>
    <row r="2765" spans="3:3">
      <c r="C2765" t="s">
        <v>2432</v>
      </c>
    </row>
    <row r="2766" spans="3:3">
      <c r="C2766" t="s">
        <v>1244</v>
      </c>
    </row>
    <row r="2767" spans="3:3">
      <c r="C2767" t="s">
        <v>2433</v>
      </c>
    </row>
    <row r="2768" spans="3:3">
      <c r="C2768" t="s">
        <v>49</v>
      </c>
    </row>
    <row r="2769" spans="3:3">
      <c r="C2769" t="s">
        <v>2434</v>
      </c>
    </row>
    <row r="2770" spans="3:3">
      <c r="C2770" t="s">
        <v>801</v>
      </c>
    </row>
    <row r="2771" spans="3:3">
      <c r="C2771" t="s">
        <v>2435</v>
      </c>
    </row>
    <row r="2772" spans="3:3">
      <c r="C2772" t="s">
        <v>159</v>
      </c>
    </row>
    <row r="2773" spans="3:3">
      <c r="C2773" t="s">
        <v>2436</v>
      </c>
    </row>
    <row r="2774" spans="3:3">
      <c r="C2774" t="s">
        <v>1245</v>
      </c>
    </row>
    <row r="2775" spans="3:3">
      <c r="C2775" t="s">
        <v>813</v>
      </c>
    </row>
    <row r="2776" spans="3:3">
      <c r="C2776" t="s">
        <v>814</v>
      </c>
    </row>
    <row r="2777" spans="3:3">
      <c r="C2777" t="s">
        <v>319</v>
      </c>
    </row>
    <row r="2778" spans="3:3">
      <c r="C2778" t="s">
        <v>320</v>
      </c>
    </row>
    <row r="2779" spans="3:3">
      <c r="C2779">
        <v>50</v>
      </c>
    </row>
    <row r="2780" spans="3:3">
      <c r="C2780" t="s">
        <v>829</v>
      </c>
    </row>
    <row r="2781" spans="3:3">
      <c r="C2781" t="s">
        <v>393</v>
      </c>
    </row>
    <row r="2782" spans="3:3">
      <c r="C2782" t="s">
        <v>47</v>
      </c>
    </row>
    <row r="2783" spans="3:3">
      <c r="C2783" t="s">
        <v>48</v>
      </c>
    </row>
    <row r="2784" spans="3:3">
      <c r="C2784" t="s">
        <v>2437</v>
      </c>
    </row>
    <row r="2785" spans="3:3">
      <c r="C2785" t="s">
        <v>1246</v>
      </c>
    </row>
    <row r="2786" spans="3:3">
      <c r="C2786" t="s">
        <v>2438</v>
      </c>
    </row>
    <row r="2787" spans="3:3">
      <c r="C2787" t="s">
        <v>1247</v>
      </c>
    </row>
    <row r="2788" spans="3:3">
      <c r="C2788" t="s">
        <v>2439</v>
      </c>
    </row>
    <row r="2789" spans="3:3">
      <c r="C2789" t="s">
        <v>145</v>
      </c>
    </row>
    <row r="2790" spans="3:3">
      <c r="C2790" t="s">
        <v>2440</v>
      </c>
    </row>
    <row r="2791" spans="3:3">
      <c r="C2791" t="s">
        <v>49</v>
      </c>
    </row>
    <row r="2792" spans="3:3">
      <c r="C2792" t="s">
        <v>2441</v>
      </c>
    </row>
    <row r="2793" spans="3:3">
      <c r="C2793" t="s">
        <v>70</v>
      </c>
    </row>
    <row r="2794" spans="3:3">
      <c r="C2794" t="s">
        <v>2442</v>
      </c>
    </row>
    <row r="2795" spans="3:3">
      <c r="C2795" t="s">
        <v>68</v>
      </c>
    </row>
    <row r="2796" spans="3:3">
      <c r="C2796" t="s">
        <v>2443</v>
      </c>
    </row>
    <row r="2797" spans="3:3">
      <c r="C2797" t="s">
        <v>1248</v>
      </c>
    </row>
    <row r="2798" spans="3:3">
      <c r="C2798" t="s">
        <v>488</v>
      </c>
    </row>
    <row r="2799" spans="3:3">
      <c r="C2799" t="s">
        <v>2444</v>
      </c>
    </row>
    <row r="2800" spans="3:3">
      <c r="C2800" t="s">
        <v>2445</v>
      </c>
    </row>
    <row r="2801" spans="3:3">
      <c r="C2801" t="s">
        <v>2446</v>
      </c>
    </row>
    <row r="2802" spans="3:3">
      <c r="C2802" t="s">
        <v>1249</v>
      </c>
    </row>
    <row r="2803" spans="3:3">
      <c r="C2803" t="s">
        <v>489</v>
      </c>
    </row>
    <row r="2804" spans="3:3">
      <c r="C2804" t="s">
        <v>2447</v>
      </c>
    </row>
    <row r="2805" spans="3:3">
      <c r="C2805" t="s">
        <v>490</v>
      </c>
    </row>
    <row r="2806" spans="3:3">
      <c r="C2806" t="s">
        <v>2448</v>
      </c>
    </row>
    <row r="2807" spans="3:3">
      <c r="C2807" t="s">
        <v>491</v>
      </c>
    </row>
    <row r="2808" spans="3:3">
      <c r="C2808" t="s">
        <v>2449</v>
      </c>
    </row>
    <row r="2809" spans="3:3">
      <c r="C2809" t="s">
        <v>415</v>
      </c>
    </row>
    <row r="2810" spans="3:3">
      <c r="C2810" t="s">
        <v>1250</v>
      </c>
    </row>
    <row r="2811" spans="3:3">
      <c r="C2811" t="s">
        <v>492</v>
      </c>
    </row>
    <row r="2812" spans="3:3">
      <c r="C2812" t="s">
        <v>493</v>
      </c>
    </row>
    <row r="2813" spans="3:3">
      <c r="C2813" t="s">
        <v>2450</v>
      </c>
    </row>
    <row r="2814" spans="3:3">
      <c r="C2814" t="s">
        <v>813</v>
      </c>
    </row>
    <row r="2815" spans="3:3">
      <c r="C2815" t="s">
        <v>814</v>
      </c>
    </row>
    <row r="2816" spans="3:3">
      <c r="C2816" t="s">
        <v>319</v>
      </c>
    </row>
    <row r="2817" spans="3:3">
      <c r="C2817" t="s">
        <v>320</v>
      </c>
    </row>
    <row r="2818" spans="3:3">
      <c r="C2818">
        <v>51</v>
      </c>
    </row>
    <row r="2819" spans="3:3">
      <c r="C2819" t="s">
        <v>829</v>
      </c>
    </row>
    <row r="2820" spans="3:3">
      <c r="C2820" t="s">
        <v>2451</v>
      </c>
    </row>
    <row r="2821" spans="3:3">
      <c r="C2821" t="s">
        <v>2452</v>
      </c>
    </row>
    <row r="2822" spans="3:3">
      <c r="C2822" t="s">
        <v>2453</v>
      </c>
    </row>
    <row r="2823" spans="3:3">
      <c r="C2823" t="s">
        <v>494</v>
      </c>
    </row>
    <row r="2824" spans="3:3">
      <c r="C2824" t="s">
        <v>2454</v>
      </c>
    </row>
    <row r="2825" spans="3:3">
      <c r="C2825" t="s">
        <v>2455</v>
      </c>
    </row>
    <row r="2826" spans="3:3">
      <c r="C2826" t="s">
        <v>2456</v>
      </c>
    </row>
    <row r="2827" spans="3:3">
      <c r="C2827" t="s">
        <v>2457</v>
      </c>
    </row>
    <row r="2828" spans="3:3">
      <c r="C2828" t="s">
        <v>393</v>
      </c>
    </row>
    <row r="2829" spans="3:3">
      <c r="C2829" t="s">
        <v>47</v>
      </c>
    </row>
    <row r="2830" spans="3:3">
      <c r="C2830" t="s">
        <v>48</v>
      </c>
    </row>
    <row r="2831" spans="3:3">
      <c r="C2831" t="s">
        <v>2458</v>
      </c>
    </row>
    <row r="2832" spans="3:3">
      <c r="C2832" t="s">
        <v>2459</v>
      </c>
    </row>
    <row r="2833" spans="3:3">
      <c r="C2833" t="s">
        <v>2460</v>
      </c>
    </row>
    <row r="2834" spans="3:3">
      <c r="C2834" t="s">
        <v>219</v>
      </c>
    </row>
    <row r="2835" spans="3:3">
      <c r="C2835" t="s">
        <v>2461</v>
      </c>
    </row>
    <row r="2836" spans="3:3">
      <c r="C2836" t="s">
        <v>1675</v>
      </c>
    </row>
    <row r="2837" spans="3:3">
      <c r="C2837" t="s">
        <v>813</v>
      </c>
    </row>
    <row r="2838" spans="3:3">
      <c r="C2838" t="s">
        <v>814</v>
      </c>
    </row>
    <row r="2839" spans="3:3">
      <c r="C2839" t="s">
        <v>319</v>
      </c>
    </row>
    <row r="2840" spans="3:3">
      <c r="C2840" t="s">
        <v>320</v>
      </c>
    </row>
    <row r="2841" spans="3:3">
      <c r="C2841">
        <v>52</v>
      </c>
    </row>
    <row r="2842" spans="3:3">
      <c r="C2842" t="s">
        <v>829</v>
      </c>
    </row>
    <row r="2843" spans="3:3">
      <c r="C2843" t="s">
        <v>1254</v>
      </c>
    </row>
    <row r="2844" spans="3:3">
      <c r="C2844" t="s">
        <v>2462</v>
      </c>
    </row>
    <row r="2845" spans="3:3">
      <c r="C2845" t="s">
        <v>2463</v>
      </c>
    </row>
    <row r="2846" spans="3:3">
      <c r="C2846" t="s">
        <v>2464</v>
      </c>
    </row>
    <row r="2847" spans="3:3">
      <c r="C2847" t="s">
        <v>2465</v>
      </c>
    </row>
    <row r="2848" spans="3:3">
      <c r="C2848" t="s">
        <v>2466</v>
      </c>
    </row>
    <row r="2849" spans="3:3">
      <c r="C2849" t="s">
        <v>2467</v>
      </c>
    </row>
    <row r="2850" spans="3:3">
      <c r="C2850" t="s">
        <v>2468</v>
      </c>
    </row>
    <row r="2851" spans="3:3">
      <c r="C2851" t="s">
        <v>2469</v>
      </c>
    </row>
    <row r="2852" spans="3:3">
      <c r="C2852" t="s">
        <v>2470</v>
      </c>
    </row>
    <row r="2853" spans="3:3">
      <c r="C2853" t="s">
        <v>2471</v>
      </c>
    </row>
    <row r="2854" spans="3:3">
      <c r="C2854" t="s">
        <v>2472</v>
      </c>
    </row>
    <row r="2855" spans="3:3">
      <c r="C2855" t="s">
        <v>2473</v>
      </c>
    </row>
    <row r="2856" spans="3:3">
      <c r="C2856" t="s">
        <v>2474</v>
      </c>
    </row>
    <row r="2857" spans="3:3">
      <c r="C2857" t="s">
        <v>2475</v>
      </c>
    </row>
    <row r="2858" spans="3:3">
      <c r="C2858" t="s">
        <v>2476</v>
      </c>
    </row>
    <row r="2859" spans="3:3">
      <c r="C2859" t="s">
        <v>2477</v>
      </c>
    </row>
    <row r="2860" spans="3:3">
      <c r="C2860" t="s">
        <v>2478</v>
      </c>
    </row>
    <row r="2861" spans="3:3">
      <c r="C2861" t="s">
        <v>2479</v>
      </c>
    </row>
    <row r="2862" spans="3:3">
      <c r="C2862" t="s">
        <v>2480</v>
      </c>
    </row>
    <row r="2863" spans="3:3">
      <c r="C2863" t="s">
        <v>2481</v>
      </c>
    </row>
    <row r="2864" spans="3:3">
      <c r="C2864" t="s">
        <v>2482</v>
      </c>
    </row>
    <row r="2865" spans="3:3">
      <c r="C2865" t="s">
        <v>2483</v>
      </c>
    </row>
    <row r="2866" spans="3:3">
      <c r="C2866" t="s">
        <v>813</v>
      </c>
    </row>
    <row r="2867" spans="3:3">
      <c r="C2867" t="s">
        <v>814</v>
      </c>
    </row>
    <row r="2868" spans="3:3">
      <c r="C2868" t="s">
        <v>319</v>
      </c>
    </row>
    <row r="2869" spans="3:3">
      <c r="C2869" t="s">
        <v>320</v>
      </c>
    </row>
    <row r="2870" spans="3:3">
      <c r="C2870">
        <v>53</v>
      </c>
    </row>
    <row r="2871" spans="3:3">
      <c r="C2871" t="s">
        <v>829</v>
      </c>
    </row>
    <row r="2872" spans="3:3">
      <c r="C2872" t="s">
        <v>1270</v>
      </c>
    </row>
    <row r="2873" spans="3:3">
      <c r="C2873" t="s">
        <v>2484</v>
      </c>
    </row>
    <row r="2874" spans="3:3">
      <c r="C2874" t="s">
        <v>2485</v>
      </c>
    </row>
    <row r="2875" spans="3:3">
      <c r="C2875" t="s">
        <v>2486</v>
      </c>
    </row>
    <row r="2876" spans="3:3">
      <c r="C2876" t="s">
        <v>2487</v>
      </c>
    </row>
    <row r="2877" spans="3:3">
      <c r="C2877" t="s">
        <v>2488</v>
      </c>
    </row>
    <row r="2878" spans="3:3">
      <c r="C2878" t="s">
        <v>2489</v>
      </c>
    </row>
    <row r="2879" spans="3:3">
      <c r="C2879" t="s">
        <v>2490</v>
      </c>
    </row>
    <row r="2880" spans="3:3">
      <c r="C2880" t="s">
        <v>2491</v>
      </c>
    </row>
    <row r="2881" spans="3:3">
      <c r="C2881" t="s">
        <v>2492</v>
      </c>
    </row>
    <row r="2882" spans="3:3">
      <c r="C2882" t="s">
        <v>2493</v>
      </c>
    </row>
    <row r="2883" spans="3:3">
      <c r="C2883" t="s">
        <v>2494</v>
      </c>
    </row>
    <row r="2884" spans="3:3">
      <c r="C2884" t="s">
        <v>2495</v>
      </c>
    </row>
    <row r="2885" spans="3:3">
      <c r="C2885" t="s">
        <v>2496</v>
      </c>
    </row>
    <row r="2886" spans="3:3">
      <c r="C2886" t="s">
        <v>2497</v>
      </c>
    </row>
    <row r="2887" spans="3:3">
      <c r="C2887" t="s">
        <v>2498</v>
      </c>
    </row>
    <row r="2888" spans="3:3">
      <c r="C2888" t="s">
        <v>2499</v>
      </c>
    </row>
    <row r="2889" spans="3:3">
      <c r="C2889" t="s">
        <v>2500</v>
      </c>
    </row>
    <row r="2890" spans="3:3">
      <c r="C2890" t="s">
        <v>2501</v>
      </c>
    </row>
    <row r="2891" spans="3:3">
      <c r="C2891" t="s">
        <v>2502</v>
      </c>
    </row>
    <row r="2892" spans="3:3">
      <c r="C2892" t="s">
        <v>2503</v>
      </c>
    </row>
    <row r="2893" spans="3:3">
      <c r="C2893" t="s">
        <v>2504</v>
      </c>
    </row>
    <row r="2894" spans="3:3">
      <c r="C2894" t="s">
        <v>2505</v>
      </c>
    </row>
    <row r="2895" spans="3:3">
      <c r="C2895" t="s">
        <v>2506</v>
      </c>
    </row>
    <row r="2896" spans="3:3">
      <c r="C2896" t="s">
        <v>2507</v>
      </c>
    </row>
    <row r="2897" spans="3:3">
      <c r="C2897" t="s">
        <v>2508</v>
      </c>
    </row>
    <row r="2898" spans="3:3">
      <c r="C2898" t="s">
        <v>2509</v>
      </c>
    </row>
    <row r="2899" spans="3:3">
      <c r="C2899" t="s">
        <v>2510</v>
      </c>
    </row>
    <row r="2900" spans="3:3">
      <c r="C2900" t="s">
        <v>2511</v>
      </c>
    </row>
    <row r="2901" spans="3:3">
      <c r="C2901" t="s">
        <v>2512</v>
      </c>
    </row>
    <row r="2902" spans="3:3">
      <c r="C2902" t="s">
        <v>813</v>
      </c>
    </row>
    <row r="2903" spans="3:3">
      <c r="C2903" t="s">
        <v>814</v>
      </c>
    </row>
    <row r="2904" spans="3:3">
      <c r="C2904" t="s">
        <v>319</v>
      </c>
    </row>
    <row r="2905" spans="3:3">
      <c r="C2905" t="s">
        <v>320</v>
      </c>
    </row>
    <row r="2906" spans="3:3">
      <c r="C2906">
        <v>54</v>
      </c>
    </row>
    <row r="2907" spans="3:3">
      <c r="C2907" t="s">
        <v>829</v>
      </c>
    </row>
    <row r="2908" spans="3:3">
      <c r="C2908" t="s">
        <v>2513</v>
      </c>
    </row>
    <row r="2909" spans="3:3">
      <c r="C2909" t="s">
        <v>2514</v>
      </c>
    </row>
    <row r="2910" spans="3:3">
      <c r="C2910" t="s">
        <v>2515</v>
      </c>
    </row>
    <row r="2911" spans="3:3">
      <c r="C2911" t="s">
        <v>2516</v>
      </c>
    </row>
    <row r="2912" spans="3:3">
      <c r="C2912" t="s">
        <v>2517</v>
      </c>
    </row>
    <row r="2913" spans="3:3">
      <c r="C2913" t="s">
        <v>2518</v>
      </c>
    </row>
    <row r="2914" spans="3:3">
      <c r="C2914" t="s">
        <v>2519</v>
      </c>
    </row>
    <row r="2915" spans="3:3">
      <c r="C2915" t="s">
        <v>2520</v>
      </c>
    </row>
    <row r="2916" spans="3:3">
      <c r="C2916" t="s">
        <v>2521</v>
      </c>
    </row>
    <row r="2917" spans="3:3">
      <c r="C2917" t="s">
        <v>2522</v>
      </c>
    </row>
    <row r="2918" spans="3:3">
      <c r="C2918" t="s">
        <v>2523</v>
      </c>
    </row>
    <row r="2919" spans="3:3">
      <c r="C2919" t="s">
        <v>2524</v>
      </c>
    </row>
    <row r="2920" spans="3:3">
      <c r="C2920" t="s">
        <v>2525</v>
      </c>
    </row>
    <row r="2921" spans="3:3">
      <c r="C2921" t="s">
        <v>2526</v>
      </c>
    </row>
    <row r="2922" spans="3:3">
      <c r="C2922" t="s">
        <v>2527</v>
      </c>
    </row>
    <row r="2923" spans="3:3">
      <c r="C2923" t="s">
        <v>2528</v>
      </c>
    </row>
    <row r="2924" spans="3:3">
      <c r="C2924" t="s">
        <v>2529</v>
      </c>
    </row>
    <row r="2925" spans="3:3">
      <c r="C2925" t="s">
        <v>2530</v>
      </c>
    </row>
    <row r="2926" spans="3:3">
      <c r="C2926" t="s">
        <v>2531</v>
      </c>
    </row>
    <row r="2927" spans="3:3">
      <c r="C2927" t="s">
        <v>2532</v>
      </c>
    </row>
    <row r="2928" spans="3:3">
      <c r="C2928" t="s">
        <v>2533</v>
      </c>
    </row>
    <row r="2929" spans="3:3">
      <c r="C2929" t="s">
        <v>2534</v>
      </c>
    </row>
    <row r="2930" spans="3:3">
      <c r="C2930" t="s">
        <v>2535</v>
      </c>
    </row>
    <row r="2931" spans="3:3">
      <c r="C2931" t="s">
        <v>2536</v>
      </c>
    </row>
    <row r="2932" spans="3:3">
      <c r="C2932" t="s">
        <v>2537</v>
      </c>
    </row>
    <row r="2933" spans="3:3">
      <c r="C2933" t="s">
        <v>2538</v>
      </c>
    </row>
    <row r="2934" spans="3:3">
      <c r="C2934" t="s">
        <v>2539</v>
      </c>
    </row>
    <row r="2935" spans="3:3">
      <c r="C2935" t="s">
        <v>2540</v>
      </c>
    </row>
    <row r="2936" spans="3:3">
      <c r="C2936" t="s">
        <v>2541</v>
      </c>
    </row>
    <row r="2937" spans="3:3">
      <c r="C2937" t="s">
        <v>2542</v>
      </c>
    </row>
    <row r="2938" spans="3:3">
      <c r="C2938" t="s">
        <v>2543</v>
      </c>
    </row>
    <row r="2939" spans="3:3">
      <c r="C2939" t="s">
        <v>2544</v>
      </c>
    </row>
    <row r="2940" spans="3:3">
      <c r="C2940" t="s">
        <v>2545</v>
      </c>
    </row>
    <row r="2941" spans="3:3">
      <c r="C2941" t="s">
        <v>2546</v>
      </c>
    </row>
    <row r="2942" spans="3:3">
      <c r="C2942" t="s">
        <v>2547</v>
      </c>
    </row>
    <row r="2943" spans="3:3">
      <c r="C2943" t="s">
        <v>2548</v>
      </c>
    </row>
    <row r="2944" spans="3:3">
      <c r="C2944" t="s">
        <v>2549</v>
      </c>
    </row>
    <row r="2945" spans="3:3">
      <c r="C2945" t="s">
        <v>2550</v>
      </c>
    </row>
    <row r="2946" spans="3:3">
      <c r="C2946" t="s">
        <v>2551</v>
      </c>
    </row>
    <row r="2947" spans="3:3">
      <c r="C2947" t="s">
        <v>2552</v>
      </c>
    </row>
    <row r="2948" spans="3:3">
      <c r="C2948" t="s">
        <v>2553</v>
      </c>
    </row>
    <row r="2949" spans="3:3">
      <c r="C2949" t="s">
        <v>2554</v>
      </c>
    </row>
    <row r="2950" spans="3:3">
      <c r="C2950" t="s">
        <v>813</v>
      </c>
    </row>
    <row r="2951" spans="3:3">
      <c r="C2951" t="s">
        <v>814</v>
      </c>
    </row>
    <row r="2952" spans="3:3">
      <c r="C2952" t="s">
        <v>319</v>
      </c>
    </row>
    <row r="2953" spans="3:3">
      <c r="C2953" t="s">
        <v>320</v>
      </c>
    </row>
    <row r="2954" spans="3:3">
      <c r="C2954">
        <v>55</v>
      </c>
    </row>
    <row r="2955" spans="3:3">
      <c r="C2955" t="s">
        <v>829</v>
      </c>
    </row>
    <row r="2956" spans="3:3">
      <c r="C2956" t="s">
        <v>2539</v>
      </c>
    </row>
    <row r="2957" spans="3:3">
      <c r="C2957" t="s">
        <v>2540</v>
      </c>
    </row>
    <row r="2958" spans="3:3">
      <c r="C2958" t="s">
        <v>2541</v>
      </c>
    </row>
    <row r="2959" spans="3:3">
      <c r="C2959" t="s">
        <v>2542</v>
      </c>
    </row>
    <row r="2960" spans="3:3">
      <c r="C2960" t="s">
        <v>2555</v>
      </c>
    </row>
    <row r="2961" spans="3:3">
      <c r="C2961" t="s">
        <v>2556</v>
      </c>
    </row>
    <row r="2962" spans="3:3">
      <c r="C2962" t="s">
        <v>2557</v>
      </c>
    </row>
    <row r="2963" spans="3:3">
      <c r="C2963" t="s">
        <v>2558</v>
      </c>
    </row>
    <row r="2964" spans="3:3">
      <c r="C2964" t="s">
        <v>2559</v>
      </c>
    </row>
    <row r="2965" spans="3:3">
      <c r="C2965" t="s">
        <v>2560</v>
      </c>
    </row>
    <row r="2966" spans="3:3">
      <c r="C2966" t="s">
        <v>2561</v>
      </c>
    </row>
    <row r="2967" spans="3:3">
      <c r="C2967" t="s">
        <v>2</v>
      </c>
    </row>
    <row r="2968" spans="3:3">
      <c r="C2968" t="s">
        <v>2562</v>
      </c>
    </row>
    <row r="2969" spans="3:3">
      <c r="C2969" t="s">
        <v>2563</v>
      </c>
    </row>
    <row r="2970" spans="3:3">
      <c r="C2970" t="s">
        <v>2564</v>
      </c>
    </row>
    <row r="2971" spans="3:3">
      <c r="C2971" t="s">
        <v>2</v>
      </c>
    </row>
    <row r="2972" spans="3:3">
      <c r="C2972" t="s">
        <v>83</v>
      </c>
    </row>
    <row r="2973" spans="3:3">
      <c r="C2973" t="s">
        <v>2565</v>
      </c>
    </row>
    <row r="2974" spans="3:3">
      <c r="C2974" t="s">
        <v>2566</v>
      </c>
    </row>
    <row r="2975" spans="3:3">
      <c r="C2975" t="s">
        <v>2567</v>
      </c>
    </row>
    <row r="2976" spans="3:3">
      <c r="C2976" t="s">
        <v>2568</v>
      </c>
    </row>
    <row r="2977" spans="3:3">
      <c r="C2977" t="s">
        <v>2569</v>
      </c>
    </row>
    <row r="2978" spans="3:3">
      <c r="C2978" t="s">
        <v>2570</v>
      </c>
    </row>
    <row r="2979" spans="3:3">
      <c r="C2979" t="s">
        <v>2571</v>
      </c>
    </row>
    <row r="2980" spans="3:3">
      <c r="C2980" t="s">
        <v>2572</v>
      </c>
    </row>
    <row r="2981" spans="3:3">
      <c r="C2981" t="s">
        <v>495</v>
      </c>
    </row>
    <row r="2982" spans="3:3">
      <c r="C2982" t="s">
        <v>2573</v>
      </c>
    </row>
    <row r="2983" spans="3:3">
      <c r="C2983" t="s">
        <v>2574</v>
      </c>
    </row>
    <row r="2984" spans="3:3">
      <c r="C2984" t="s">
        <v>2575</v>
      </c>
    </row>
    <row r="2985" spans="3:3">
      <c r="C2985" t="s">
        <v>2576</v>
      </c>
    </row>
    <row r="2986" spans="3:3">
      <c r="C2986" t="s">
        <v>2577</v>
      </c>
    </row>
    <row r="2987" spans="3:3">
      <c r="C2987" s="1">
        <v>-0.1</v>
      </c>
    </row>
    <row r="2988" spans="3:3">
      <c r="C2988" s="1">
        <v>-0.05</v>
      </c>
    </row>
    <row r="2989" spans="3:3">
      <c r="C2989" s="1">
        <v>0.05</v>
      </c>
    </row>
    <row r="2990" spans="3:3">
      <c r="C2990" s="1">
        <v>0.1</v>
      </c>
    </row>
    <row r="2991" spans="3:3">
      <c r="C2991" t="s">
        <v>2547</v>
      </c>
    </row>
    <row r="2992" spans="3:3">
      <c r="C2992" t="s">
        <v>1288</v>
      </c>
    </row>
    <row r="2993" spans="3:3">
      <c r="C2993" t="s">
        <v>2578</v>
      </c>
    </row>
    <row r="2994" spans="3:3">
      <c r="C2994" t="s">
        <v>2579</v>
      </c>
    </row>
    <row r="2995" spans="3:3">
      <c r="C2995" t="s">
        <v>2580</v>
      </c>
    </row>
    <row r="2996" spans="3:3">
      <c r="C2996" t="s">
        <v>2581</v>
      </c>
    </row>
    <row r="2997" spans="3:3">
      <c r="C2997" t="s">
        <v>1295</v>
      </c>
    </row>
    <row r="2998" spans="3:3">
      <c r="C2998" t="s">
        <v>2582</v>
      </c>
    </row>
    <row r="2999" spans="3:3">
      <c r="C2999" t="s">
        <v>2583</v>
      </c>
    </row>
    <row r="3000" spans="3:3">
      <c r="C3000" t="s">
        <v>2584</v>
      </c>
    </row>
    <row r="3001" spans="3:3">
      <c r="C3001" t="s">
        <v>2585</v>
      </c>
    </row>
    <row r="3002" spans="3:3">
      <c r="C3002" t="s">
        <v>2543</v>
      </c>
    </row>
    <row r="3003" spans="3:3">
      <c r="C3003" t="s">
        <v>1288</v>
      </c>
    </row>
    <row r="3004" spans="3:3">
      <c r="C3004" t="s">
        <v>2586</v>
      </c>
    </row>
    <row r="3005" spans="3:3">
      <c r="C3005" t="s">
        <v>2587</v>
      </c>
    </row>
    <row r="3006" spans="3:3">
      <c r="C3006" t="s">
        <v>2588</v>
      </c>
    </row>
    <row r="3007" spans="3:3">
      <c r="C3007" t="s">
        <v>2589</v>
      </c>
    </row>
    <row r="3008" spans="3:3">
      <c r="C3008" t="s">
        <v>1295</v>
      </c>
    </row>
    <row r="3009" spans="3:3">
      <c r="C3009" t="s">
        <v>2590</v>
      </c>
    </row>
    <row r="3010" spans="3:3">
      <c r="C3010" t="s">
        <v>2591</v>
      </c>
    </row>
    <row r="3011" spans="3:3">
      <c r="C3011" t="s">
        <v>2592</v>
      </c>
    </row>
    <row r="3012" spans="3:3">
      <c r="C3012" t="s">
        <v>2593</v>
      </c>
    </row>
    <row r="3013" spans="3:3">
      <c r="C3013" t="s">
        <v>2559</v>
      </c>
    </row>
    <row r="3014" spans="3:3">
      <c r="C3014" t="s">
        <v>1288</v>
      </c>
    </row>
    <row r="3015" spans="3:3">
      <c r="C3015" t="s">
        <v>2594</v>
      </c>
    </row>
    <row r="3016" spans="3:3">
      <c r="C3016" t="s">
        <v>2595</v>
      </c>
    </row>
    <row r="3017" spans="3:3">
      <c r="C3017" t="s">
        <v>2596</v>
      </c>
    </row>
    <row r="3018" spans="3:3">
      <c r="C3018" t="s">
        <v>2597</v>
      </c>
    </row>
    <row r="3019" spans="3:3">
      <c r="C3019" t="s">
        <v>1295</v>
      </c>
    </row>
    <row r="3020" spans="3:3">
      <c r="C3020" t="s">
        <v>2598</v>
      </c>
    </row>
    <row r="3021" spans="3:3">
      <c r="C3021" t="s">
        <v>2599</v>
      </c>
    </row>
    <row r="3022" spans="3:3">
      <c r="C3022" t="s">
        <v>2600</v>
      </c>
    </row>
    <row r="3023" spans="3:3">
      <c r="C3023" t="s">
        <v>2600</v>
      </c>
    </row>
    <row r="3024" spans="3:3">
      <c r="C3024" t="s">
        <v>813</v>
      </c>
    </row>
    <row r="3025" spans="3:3">
      <c r="C3025" t="s">
        <v>814</v>
      </c>
    </row>
    <row r="3026" spans="3:3">
      <c r="C3026" t="s">
        <v>319</v>
      </c>
    </row>
    <row r="3027" spans="3:3">
      <c r="C3027" t="s">
        <v>320</v>
      </c>
    </row>
    <row r="3028" spans="3:3">
      <c r="C3028">
        <v>56</v>
      </c>
    </row>
    <row r="3029" spans="3:3">
      <c r="C3029" t="s">
        <v>829</v>
      </c>
    </row>
    <row r="3030" spans="3:3">
      <c r="C3030" s="1">
        <v>-0.1</v>
      </c>
    </row>
    <row r="3031" spans="3:3">
      <c r="C3031" s="1">
        <v>-0.05</v>
      </c>
    </row>
    <row r="3032" spans="3:3">
      <c r="C3032" s="1">
        <v>0.05</v>
      </c>
    </row>
    <row r="3033" spans="3:3">
      <c r="C3033" s="1">
        <v>0.1</v>
      </c>
    </row>
    <row r="3034" spans="3:3">
      <c r="C3034" t="s">
        <v>2562</v>
      </c>
    </row>
    <row r="3035" spans="3:3">
      <c r="C3035" t="s">
        <v>1288</v>
      </c>
    </row>
    <row r="3036" spans="3:3">
      <c r="C3036" t="s">
        <v>2601</v>
      </c>
    </row>
    <row r="3037" spans="3:3">
      <c r="C3037" t="s">
        <v>2602</v>
      </c>
    </row>
    <row r="3038" spans="3:3">
      <c r="C3038" t="s">
        <v>2603</v>
      </c>
    </row>
    <row r="3039" spans="3:3">
      <c r="C3039" t="s">
        <v>2604</v>
      </c>
    </row>
    <row r="3040" spans="3:3">
      <c r="C3040" t="s">
        <v>1295</v>
      </c>
    </row>
    <row r="3041" spans="3:3">
      <c r="C3041" t="s">
        <v>2605</v>
      </c>
    </row>
    <row r="3042" spans="3:3">
      <c r="C3042" t="s">
        <v>2606</v>
      </c>
    </row>
    <row r="3043" spans="3:3">
      <c r="C3043" t="s">
        <v>2600</v>
      </c>
    </row>
    <row r="3044" spans="3:3">
      <c r="C3044" t="s">
        <v>2600</v>
      </c>
    </row>
    <row r="3045" spans="3:3">
      <c r="C3045" t="s">
        <v>2555</v>
      </c>
    </row>
    <row r="3046" spans="3:3">
      <c r="C3046" t="s">
        <v>1288</v>
      </c>
    </row>
    <row r="3047" spans="3:3">
      <c r="C3047" t="s">
        <v>2607</v>
      </c>
    </row>
    <row r="3048" spans="3:3">
      <c r="C3048" t="s">
        <v>2608</v>
      </c>
    </row>
    <row r="3049" spans="3:3">
      <c r="C3049" t="s">
        <v>2609</v>
      </c>
    </row>
    <row r="3050" spans="3:3">
      <c r="C3050" t="s">
        <v>2610</v>
      </c>
    </row>
    <row r="3051" spans="3:3">
      <c r="C3051" t="s">
        <v>1295</v>
      </c>
    </row>
    <row r="3052" spans="3:3">
      <c r="C3052" t="s">
        <v>2600</v>
      </c>
    </row>
    <row r="3053" spans="3:3">
      <c r="C3053" t="s">
        <v>2600</v>
      </c>
    </row>
    <row r="3054" spans="3:3">
      <c r="C3054" t="s">
        <v>2600</v>
      </c>
    </row>
    <row r="3055" spans="3:3">
      <c r="C3055" t="s">
        <v>2600</v>
      </c>
    </row>
    <row r="3056" spans="3:3">
      <c r="C3056" t="s">
        <v>2551</v>
      </c>
    </row>
    <row r="3057" spans="3:3">
      <c r="C3057" t="s">
        <v>1288</v>
      </c>
    </row>
    <row r="3058" spans="3:3">
      <c r="C3058" t="s">
        <v>2611</v>
      </c>
    </row>
    <row r="3059" spans="3:3">
      <c r="C3059" t="s">
        <v>2612</v>
      </c>
    </row>
    <row r="3060" spans="3:3">
      <c r="C3060" t="s">
        <v>2613</v>
      </c>
    </row>
    <row r="3061" spans="3:3">
      <c r="C3061" t="s">
        <v>2614</v>
      </c>
    </row>
    <row r="3062" spans="3:3">
      <c r="C3062" t="s">
        <v>1295</v>
      </c>
    </row>
    <row r="3063" spans="3:3">
      <c r="C3063" t="s">
        <v>2615</v>
      </c>
    </row>
    <row r="3064" spans="3:3">
      <c r="C3064" t="s">
        <v>2615</v>
      </c>
    </row>
    <row r="3065" spans="3:3">
      <c r="C3065" t="s">
        <v>2616</v>
      </c>
    </row>
    <row r="3066" spans="3:3">
      <c r="C3066" t="s">
        <v>2553</v>
      </c>
    </row>
    <row r="3067" spans="3:3">
      <c r="C3067" t="s">
        <v>2617</v>
      </c>
    </row>
    <row r="3068" spans="3:3">
      <c r="C3068" t="s">
        <v>2618</v>
      </c>
    </row>
    <row r="3069" spans="3:3">
      <c r="C3069" t="s">
        <v>2619</v>
      </c>
    </row>
    <row r="3070" spans="3:3">
      <c r="C3070" t="s">
        <v>2620</v>
      </c>
    </row>
    <row r="3071" spans="3:3">
      <c r="C3071" t="s">
        <v>2621</v>
      </c>
    </row>
    <row r="3072" spans="3:3">
      <c r="C3072" t="s">
        <v>2547</v>
      </c>
    </row>
    <row r="3073" spans="3:3">
      <c r="C3073" t="s">
        <v>1288</v>
      </c>
    </row>
    <row r="3074" spans="3:3">
      <c r="C3074" t="s">
        <v>2622</v>
      </c>
    </row>
    <row r="3075" spans="3:3">
      <c r="C3075" t="s">
        <v>2623</v>
      </c>
    </row>
    <row r="3076" spans="3:3">
      <c r="C3076" t="s">
        <v>2624</v>
      </c>
    </row>
    <row r="3077" spans="3:3">
      <c r="C3077" t="s">
        <v>2625</v>
      </c>
    </row>
    <row r="3078" spans="3:3">
      <c r="C3078" t="s">
        <v>1295</v>
      </c>
    </row>
    <row r="3079" spans="3:3">
      <c r="C3079" t="s">
        <v>2626</v>
      </c>
    </row>
    <row r="3080" spans="3:3">
      <c r="C3080" t="s">
        <v>2627</v>
      </c>
    </row>
    <row r="3081" spans="3:3">
      <c r="C3081" t="s">
        <v>2628</v>
      </c>
    </row>
    <row r="3082" spans="3:3">
      <c r="C3082" t="s">
        <v>2629</v>
      </c>
    </row>
    <row r="3083" spans="3:3">
      <c r="C3083" t="s">
        <v>2543</v>
      </c>
    </row>
    <row r="3084" spans="3:3">
      <c r="C3084" t="s">
        <v>1288</v>
      </c>
    </row>
    <row r="3085" spans="3:3">
      <c r="C3085" t="s">
        <v>2630</v>
      </c>
    </row>
    <row r="3086" spans="3:3">
      <c r="C3086" t="s">
        <v>2631</v>
      </c>
    </row>
    <row r="3087" spans="3:3">
      <c r="C3087" t="s">
        <v>2632</v>
      </c>
    </row>
    <row r="3088" spans="3:3">
      <c r="C3088" t="s">
        <v>841</v>
      </c>
    </row>
    <row r="3089" spans="3:3">
      <c r="C3089" t="s">
        <v>1295</v>
      </c>
    </row>
    <row r="3090" spans="3:3">
      <c r="C3090" t="s">
        <v>2633</v>
      </c>
    </row>
    <row r="3091" spans="3:3">
      <c r="C3091" t="s">
        <v>2634</v>
      </c>
    </row>
    <row r="3092" spans="3:3">
      <c r="C3092" t="s">
        <v>2635</v>
      </c>
    </row>
    <row r="3093" spans="3:3">
      <c r="C3093" t="s">
        <v>2636</v>
      </c>
    </row>
    <row r="3094" spans="3:3">
      <c r="C3094" t="s">
        <v>2559</v>
      </c>
    </row>
    <row r="3095" spans="3:3">
      <c r="C3095" t="s">
        <v>1288</v>
      </c>
    </row>
    <row r="3096" spans="3:3">
      <c r="C3096" t="s">
        <v>2637</v>
      </c>
    </row>
    <row r="3097" spans="3:3">
      <c r="C3097" t="s">
        <v>2638</v>
      </c>
    </row>
    <row r="3098" spans="3:3">
      <c r="C3098" t="s">
        <v>2639</v>
      </c>
    </row>
    <row r="3099" spans="3:3">
      <c r="C3099" t="s">
        <v>2640</v>
      </c>
    </row>
    <row r="3100" spans="3:3">
      <c r="C3100" t="s">
        <v>1295</v>
      </c>
    </row>
    <row r="3101" spans="3:3">
      <c r="C3101" t="s">
        <v>2600</v>
      </c>
    </row>
    <row r="3102" spans="3:3">
      <c r="C3102" t="s">
        <v>2600</v>
      </c>
    </row>
    <row r="3103" spans="3:3">
      <c r="C3103" t="s">
        <v>2600</v>
      </c>
    </row>
    <row r="3104" spans="3:3">
      <c r="C3104" t="s">
        <v>2600</v>
      </c>
    </row>
    <row r="3105" spans="3:3">
      <c r="C3105" t="s">
        <v>2562</v>
      </c>
    </row>
    <row r="3106" spans="3:3">
      <c r="C3106" t="s">
        <v>1288</v>
      </c>
    </row>
    <row r="3107" spans="3:3">
      <c r="C3107" t="s">
        <v>2641</v>
      </c>
    </row>
    <row r="3108" spans="3:3">
      <c r="C3108" t="s">
        <v>1058</v>
      </c>
    </row>
    <row r="3109" spans="3:3">
      <c r="C3109" t="s">
        <v>2642</v>
      </c>
    </row>
    <row r="3110" spans="3:3">
      <c r="C3110" t="s">
        <v>2643</v>
      </c>
    </row>
    <row r="3111" spans="3:3">
      <c r="C3111" t="s">
        <v>1295</v>
      </c>
    </row>
    <row r="3112" spans="3:3">
      <c r="C3112" t="s">
        <v>2600</v>
      </c>
    </row>
    <row r="3113" spans="3:3">
      <c r="C3113" t="s">
        <v>2600</v>
      </c>
    </row>
    <row r="3114" spans="3:3">
      <c r="C3114" t="s">
        <v>2600</v>
      </c>
    </row>
    <row r="3115" spans="3:3">
      <c r="C3115" t="s">
        <v>2600</v>
      </c>
    </row>
    <row r="3116" spans="3:3">
      <c r="C3116" t="s">
        <v>2644</v>
      </c>
    </row>
    <row r="3117" spans="3:3">
      <c r="C3117" t="s">
        <v>1288</v>
      </c>
    </row>
    <row r="3118" spans="3:3">
      <c r="C3118" t="s">
        <v>2645</v>
      </c>
    </row>
    <row r="3119" spans="3:3">
      <c r="C3119" t="s">
        <v>2646</v>
      </c>
    </row>
    <row r="3120" spans="3:3">
      <c r="C3120" t="s">
        <v>2647</v>
      </c>
    </row>
    <row r="3121" spans="3:3">
      <c r="C3121" t="s">
        <v>2648</v>
      </c>
    </row>
    <row r="3122" spans="3:3">
      <c r="C3122" t="s">
        <v>1295</v>
      </c>
    </row>
    <row r="3123" spans="3:3">
      <c r="C3123" t="s">
        <v>2600</v>
      </c>
    </row>
    <row r="3124" spans="3:3">
      <c r="C3124" t="s">
        <v>2600</v>
      </c>
    </row>
    <row r="3125" spans="3:3">
      <c r="C3125" t="s">
        <v>2600</v>
      </c>
    </row>
    <row r="3126" spans="3:3">
      <c r="C3126" t="s">
        <v>2600</v>
      </c>
    </row>
    <row r="3127" spans="3:3">
      <c r="C3127" t="s">
        <v>2551</v>
      </c>
    </row>
    <row r="3128" spans="3:3">
      <c r="C3128" t="s">
        <v>1288</v>
      </c>
    </row>
    <row r="3129" spans="3:3">
      <c r="C3129" t="s">
        <v>2649</v>
      </c>
    </row>
    <row r="3130" spans="3:3">
      <c r="C3130" t="s">
        <v>1177</v>
      </c>
    </row>
    <row r="3131" spans="3:3">
      <c r="C3131" t="s">
        <v>2650</v>
      </c>
    </row>
    <row r="3132" spans="3:3">
      <c r="C3132" t="s">
        <v>2651</v>
      </c>
    </row>
    <row r="3133" spans="3:3">
      <c r="C3133" t="s">
        <v>1295</v>
      </c>
    </row>
    <row r="3134" spans="3:3">
      <c r="C3134" t="s">
        <v>2652</v>
      </c>
    </row>
    <row r="3135" spans="3:3">
      <c r="C3135" t="s">
        <v>2653</v>
      </c>
    </row>
    <row r="3136" spans="3:3">
      <c r="C3136" t="s">
        <v>2654</v>
      </c>
    </row>
    <row r="3137" spans="3:3">
      <c r="C3137" t="s">
        <v>2655</v>
      </c>
    </row>
    <row r="3138" spans="3:3">
      <c r="C3138" t="s">
        <v>2656</v>
      </c>
    </row>
    <row r="3139" spans="3:3">
      <c r="C3139" t="s">
        <v>2657</v>
      </c>
    </row>
    <row r="3140" spans="3:3">
      <c r="C3140" t="s">
        <v>2658</v>
      </c>
    </row>
    <row r="3141" spans="3:3">
      <c r="C3141" t="s">
        <v>2547</v>
      </c>
    </row>
    <row r="3142" spans="3:3">
      <c r="C3142" t="s">
        <v>1288</v>
      </c>
    </row>
    <row r="3143" spans="3:3">
      <c r="C3143" t="s">
        <v>2659</v>
      </c>
    </row>
    <row r="3144" spans="3:3">
      <c r="C3144" t="s">
        <v>1295</v>
      </c>
    </row>
    <row r="3145" spans="3:3">
      <c r="C3145" t="s">
        <v>2660</v>
      </c>
    </row>
    <row r="3146" spans="3:3">
      <c r="C3146" t="s">
        <v>2543</v>
      </c>
    </row>
    <row r="3147" spans="3:3">
      <c r="C3147" t="s">
        <v>1288</v>
      </c>
    </row>
    <row r="3148" spans="3:3">
      <c r="C3148" t="s">
        <v>2661</v>
      </c>
    </row>
    <row r="3149" spans="3:3">
      <c r="C3149" t="s">
        <v>1295</v>
      </c>
    </row>
    <row r="3150" spans="3:3">
      <c r="C3150" t="s">
        <v>2662</v>
      </c>
    </row>
    <row r="3151" spans="3:3">
      <c r="C3151" t="s">
        <v>2559</v>
      </c>
    </row>
    <row r="3152" spans="3:3">
      <c r="C3152" t="s">
        <v>1288</v>
      </c>
    </row>
    <row r="3153" spans="3:3">
      <c r="C3153" t="s">
        <v>1289</v>
      </c>
    </row>
    <row r="3154" spans="3:3">
      <c r="C3154" t="s">
        <v>1295</v>
      </c>
    </row>
    <row r="3155" spans="3:3">
      <c r="C3155" t="s">
        <v>2600</v>
      </c>
    </row>
    <row r="3156" spans="3:3">
      <c r="C3156" t="s">
        <v>813</v>
      </c>
    </row>
    <row r="3157" spans="3:3">
      <c r="C3157" t="s">
        <v>814</v>
      </c>
    </row>
    <row r="3158" spans="3:3">
      <c r="C3158" t="s">
        <v>319</v>
      </c>
    </row>
    <row r="3159" spans="3:3">
      <c r="C3159" t="s">
        <v>320</v>
      </c>
    </row>
    <row r="3160" spans="3:3">
      <c r="C3160">
        <v>57</v>
      </c>
    </row>
    <row r="3161" spans="3:3">
      <c r="C3161" t="s">
        <v>829</v>
      </c>
    </row>
    <row r="3162" spans="3:3">
      <c r="C3162" t="s">
        <v>2657</v>
      </c>
    </row>
    <row r="3163" spans="3:3">
      <c r="C3163" t="s">
        <v>2658</v>
      </c>
    </row>
    <row r="3164" spans="3:3">
      <c r="C3164" t="s">
        <v>2562</v>
      </c>
    </row>
    <row r="3165" spans="3:3">
      <c r="C3165" t="s">
        <v>1288</v>
      </c>
    </row>
    <row r="3166" spans="3:3">
      <c r="C3166" t="s">
        <v>2663</v>
      </c>
    </row>
    <row r="3167" spans="3:3">
      <c r="C3167" t="s">
        <v>1295</v>
      </c>
    </row>
    <row r="3168" spans="3:3">
      <c r="C3168" t="s">
        <v>2600</v>
      </c>
    </row>
    <row r="3169" spans="3:3">
      <c r="C3169" t="s">
        <v>2555</v>
      </c>
    </row>
    <row r="3170" spans="3:3">
      <c r="C3170" t="s">
        <v>1288</v>
      </c>
    </row>
    <row r="3171" spans="3:3">
      <c r="C3171" t="s">
        <v>2664</v>
      </c>
    </row>
    <row r="3172" spans="3:3">
      <c r="C3172" t="s">
        <v>1295</v>
      </c>
    </row>
    <row r="3173" spans="3:3">
      <c r="C3173" t="s">
        <v>2600</v>
      </c>
    </row>
    <row r="3174" spans="3:3">
      <c r="C3174" t="s">
        <v>2551</v>
      </c>
    </row>
    <row r="3175" spans="3:3">
      <c r="C3175" t="s">
        <v>1288</v>
      </c>
    </row>
    <row r="3176" spans="3:3">
      <c r="C3176" t="s">
        <v>2665</v>
      </c>
    </row>
    <row r="3177" spans="3:3">
      <c r="C3177" t="s">
        <v>1295</v>
      </c>
    </row>
    <row r="3178" spans="3:3">
      <c r="C3178" t="s">
        <v>2666</v>
      </c>
    </row>
    <row r="3179" spans="3:3">
      <c r="C3179" t="s">
        <v>2667</v>
      </c>
    </row>
    <row r="3180" spans="3:3">
      <c r="C3180" t="s">
        <v>2668</v>
      </c>
    </row>
    <row r="3181" spans="3:3">
      <c r="C3181" t="s">
        <v>2669</v>
      </c>
    </row>
    <row r="3182" spans="3:3">
      <c r="C3182" t="s">
        <v>2670</v>
      </c>
    </row>
    <row r="3183" spans="3:3">
      <c r="C3183" t="s">
        <v>2671</v>
      </c>
    </row>
    <row r="3184" spans="3:3">
      <c r="C3184" t="s">
        <v>2669</v>
      </c>
    </row>
    <row r="3185" spans="3:3">
      <c r="C3185" t="s">
        <v>2672</v>
      </c>
    </row>
    <row r="3186" spans="3:3">
      <c r="C3186" t="s">
        <v>1295</v>
      </c>
    </row>
    <row r="3187" spans="3:3">
      <c r="C3187" t="s">
        <v>2673</v>
      </c>
    </row>
    <row r="3188" spans="3:3">
      <c r="C3188" t="s">
        <v>2674</v>
      </c>
    </row>
    <row r="3189" spans="3:3">
      <c r="C3189" t="s">
        <v>2675</v>
      </c>
    </row>
    <row r="3190" spans="3:3">
      <c r="C3190" t="s">
        <v>1255</v>
      </c>
    </row>
    <row r="3191" spans="3:3">
      <c r="C3191" t="s">
        <v>1256</v>
      </c>
    </row>
    <row r="3192" spans="3:3">
      <c r="C3192" t="s">
        <v>496</v>
      </c>
    </row>
    <row r="3193" spans="3:3">
      <c r="C3193" t="s">
        <v>2676</v>
      </c>
    </row>
    <row r="3194" spans="3:3">
      <c r="C3194" t="s">
        <v>1257</v>
      </c>
    </row>
    <row r="3195" spans="3:3">
      <c r="C3195" t="s">
        <v>2677</v>
      </c>
    </row>
    <row r="3196" spans="3:3">
      <c r="C3196" t="s">
        <v>2678</v>
      </c>
    </row>
    <row r="3197" spans="3:3">
      <c r="C3197" t="s">
        <v>1259</v>
      </c>
    </row>
    <row r="3198" spans="3:3">
      <c r="C3198" t="s">
        <v>2679</v>
      </c>
    </row>
    <row r="3199" spans="3:3">
      <c r="C3199" t="s">
        <v>2680</v>
      </c>
    </row>
    <row r="3200" spans="3:3">
      <c r="C3200" t="s">
        <v>2681</v>
      </c>
    </row>
    <row r="3201" spans="3:3">
      <c r="C3201" t="s">
        <v>2682</v>
      </c>
    </row>
    <row r="3202" spans="3:3">
      <c r="C3202" t="s">
        <v>2683</v>
      </c>
    </row>
    <row r="3203" spans="3:3">
      <c r="C3203" t="s">
        <v>2684</v>
      </c>
    </row>
    <row r="3204" spans="3:3">
      <c r="C3204" t="s">
        <v>2685</v>
      </c>
    </row>
    <row r="3205" spans="3:3">
      <c r="C3205" t="s">
        <v>2686</v>
      </c>
    </row>
    <row r="3206" spans="3:3">
      <c r="C3206" t="s">
        <v>813</v>
      </c>
    </row>
    <row r="3207" spans="3:3">
      <c r="C3207" t="s">
        <v>814</v>
      </c>
    </row>
    <row r="3208" spans="3:3">
      <c r="C3208" t="s">
        <v>319</v>
      </c>
    </row>
    <row r="3209" spans="3:3">
      <c r="C3209" t="s">
        <v>320</v>
      </c>
    </row>
    <row r="3210" spans="3:3">
      <c r="C3210">
        <v>58</v>
      </c>
    </row>
    <row r="3211" spans="3:3">
      <c r="C3211" t="s">
        <v>829</v>
      </c>
    </row>
    <row r="3212" spans="3:3">
      <c r="C3212" t="s">
        <v>2687</v>
      </c>
    </row>
    <row r="3213" spans="3:3">
      <c r="C3213" t="s">
        <v>2688</v>
      </c>
    </row>
    <row r="3214" spans="3:3">
      <c r="C3214" t="s">
        <v>2689</v>
      </c>
    </row>
    <row r="3215" spans="3:3">
      <c r="C3215" t="s">
        <v>2690</v>
      </c>
    </row>
    <row r="3216" spans="3:3">
      <c r="C3216" t="s">
        <v>2691</v>
      </c>
    </row>
    <row r="3217" spans="3:3">
      <c r="C3217" t="s">
        <v>2692</v>
      </c>
    </row>
    <row r="3218" spans="3:3">
      <c r="C3218" t="s">
        <v>2693</v>
      </c>
    </row>
    <row r="3219" spans="3:3">
      <c r="C3219" t="s">
        <v>2694</v>
      </c>
    </row>
    <row r="3220" spans="3:3">
      <c r="C3220" t="s">
        <v>2695</v>
      </c>
    </row>
    <row r="3221" spans="3:3">
      <c r="C3221" t="s">
        <v>2696</v>
      </c>
    </row>
    <row r="3222" spans="3:3">
      <c r="C3222" t="s">
        <v>2697</v>
      </c>
    </row>
    <row r="3223" spans="3:3">
      <c r="C3223" t="s">
        <v>2698</v>
      </c>
    </row>
    <row r="3224" spans="3:3">
      <c r="C3224" t="s">
        <v>2699</v>
      </c>
    </row>
    <row r="3225" spans="3:3">
      <c r="C3225" t="s">
        <v>2700</v>
      </c>
    </row>
    <row r="3226" spans="3:3">
      <c r="C3226" t="s">
        <v>2701</v>
      </c>
    </row>
    <row r="3227" spans="3:3">
      <c r="C3227" t="s">
        <v>2702</v>
      </c>
    </row>
    <row r="3228" spans="3:3">
      <c r="C3228" t="s">
        <v>2703</v>
      </c>
    </row>
    <row r="3229" spans="3:3">
      <c r="C3229" t="s">
        <v>2704</v>
      </c>
    </row>
    <row r="3230" spans="3:3">
      <c r="C3230" t="s">
        <v>2705</v>
      </c>
    </row>
    <row r="3231" spans="3:3">
      <c r="C3231" t="s">
        <v>2706</v>
      </c>
    </row>
    <row r="3232" spans="3:3">
      <c r="C3232" t="s">
        <v>2707</v>
      </c>
    </row>
    <row r="3233" spans="3:3">
      <c r="C3233" t="s">
        <v>2708</v>
      </c>
    </row>
    <row r="3234" spans="3:3">
      <c r="C3234" t="s">
        <v>2709</v>
      </c>
    </row>
    <row r="3235" spans="3:3">
      <c r="C3235" t="s">
        <v>813</v>
      </c>
    </row>
    <row r="3236" spans="3:3">
      <c r="C3236" t="s">
        <v>814</v>
      </c>
    </row>
    <row r="3237" spans="3:3">
      <c r="C3237" t="s">
        <v>319</v>
      </c>
    </row>
    <row r="3238" spans="3:3">
      <c r="C3238" t="s">
        <v>320</v>
      </c>
    </row>
    <row r="3239" spans="3:3">
      <c r="C3239">
        <v>59</v>
      </c>
    </row>
    <row r="3240" spans="3:3">
      <c r="C3240" t="s">
        <v>829</v>
      </c>
    </row>
    <row r="3241" spans="3:3">
      <c r="C3241" t="s">
        <v>2507</v>
      </c>
    </row>
    <row r="3242" spans="3:3">
      <c r="C3242" t="s">
        <v>2710</v>
      </c>
    </row>
    <row r="3243" spans="3:3">
      <c r="C3243" t="s">
        <v>2711</v>
      </c>
    </row>
    <row r="3244" spans="3:3">
      <c r="C3244" t="s">
        <v>2712</v>
      </c>
    </row>
    <row r="3245" spans="3:3">
      <c r="C3245" t="s">
        <v>2713</v>
      </c>
    </row>
    <row r="3246" spans="3:3">
      <c r="C3246" t="s">
        <v>2714</v>
      </c>
    </row>
    <row r="3247" spans="3:3">
      <c r="C3247" t="s">
        <v>2715</v>
      </c>
    </row>
    <row r="3248" spans="3:3">
      <c r="C3248" t="s">
        <v>2540</v>
      </c>
    </row>
    <row r="3249" spans="3:3">
      <c r="C3249" t="s">
        <v>2716</v>
      </c>
    </row>
    <row r="3250" spans="3:3">
      <c r="C3250" t="s">
        <v>2717</v>
      </c>
    </row>
    <row r="3251" spans="3:3">
      <c r="C3251" t="s">
        <v>2718</v>
      </c>
    </row>
    <row r="3252" spans="3:3">
      <c r="C3252" t="s">
        <v>2719</v>
      </c>
    </row>
    <row r="3253" spans="3:3">
      <c r="C3253" t="s">
        <v>2720</v>
      </c>
    </row>
    <row r="3254" spans="3:3">
      <c r="C3254" t="s">
        <v>2721</v>
      </c>
    </row>
    <row r="3255" spans="3:3">
      <c r="C3255" t="s">
        <v>2722</v>
      </c>
    </row>
    <row r="3256" spans="3:3">
      <c r="C3256" t="s">
        <v>2723</v>
      </c>
    </row>
    <row r="3257" spans="3:3">
      <c r="C3257" t="s">
        <v>2724</v>
      </c>
    </row>
    <row r="3258" spans="3:3">
      <c r="C3258" t="s">
        <v>2725</v>
      </c>
    </row>
    <row r="3259" spans="3:3">
      <c r="C3259" t="s">
        <v>2726</v>
      </c>
    </row>
    <row r="3260" spans="3:3">
      <c r="C3260" t="s">
        <v>2727</v>
      </c>
    </row>
    <row r="3261" spans="3:3">
      <c r="C3261" t="s">
        <v>2</v>
      </c>
    </row>
    <row r="3262" spans="3:3">
      <c r="C3262" t="s">
        <v>2728</v>
      </c>
    </row>
    <row r="3263" spans="3:3">
      <c r="C3263" t="s">
        <v>2729</v>
      </c>
    </row>
    <row r="3264" spans="3:3">
      <c r="C3264" t="s">
        <v>2730</v>
      </c>
    </row>
    <row r="3265" spans="3:3">
      <c r="C3265" t="s">
        <v>2731</v>
      </c>
    </row>
    <row r="3266" spans="3:3">
      <c r="C3266" t="s">
        <v>2732</v>
      </c>
    </row>
    <row r="3267" spans="3:3">
      <c r="C3267" t="s">
        <v>2733</v>
      </c>
    </row>
    <row r="3268" spans="3:3">
      <c r="C3268" t="s">
        <v>83</v>
      </c>
    </row>
    <row r="3269" spans="3:3">
      <c r="C3269" t="s">
        <v>2734</v>
      </c>
    </row>
    <row r="3270" spans="3:3">
      <c r="C3270" t="s">
        <v>2735</v>
      </c>
    </row>
    <row r="3271" spans="3:3">
      <c r="C3271" t="s">
        <v>2736</v>
      </c>
    </row>
    <row r="3272" spans="3:3">
      <c r="C3272" t="s">
        <v>2737</v>
      </c>
    </row>
    <row r="3273" spans="3:3">
      <c r="C3273" t="s">
        <v>2738</v>
      </c>
    </row>
    <row r="3274" spans="3:3">
      <c r="C3274" t="s">
        <v>2739</v>
      </c>
    </row>
    <row r="3275" spans="3:3">
      <c r="C3275" t="s">
        <v>2740</v>
      </c>
    </row>
    <row r="3276" spans="3:3">
      <c r="C3276" t="s">
        <v>2741</v>
      </c>
    </row>
    <row r="3277" spans="3:3">
      <c r="C3277" t="s">
        <v>2742</v>
      </c>
    </row>
    <row r="3278" spans="3:3">
      <c r="C3278" t="s">
        <v>2743</v>
      </c>
    </row>
    <row r="3279" spans="3:3">
      <c r="C3279" t="s">
        <v>2744</v>
      </c>
    </row>
    <row r="3280" spans="3:3">
      <c r="C3280" t="s">
        <v>2745</v>
      </c>
    </row>
    <row r="3281" spans="3:3">
      <c r="C3281" t="s">
        <v>2746</v>
      </c>
    </row>
    <row r="3282" spans="3:3">
      <c r="C3282" t="s">
        <v>2747</v>
      </c>
    </row>
    <row r="3283" spans="3:3">
      <c r="C3283" s="1">
        <v>-0.01</v>
      </c>
    </row>
    <row r="3284" spans="3:3">
      <c r="C3284" s="1">
        <v>0.01</v>
      </c>
    </row>
    <row r="3285" spans="3:3">
      <c r="C3285" s="1">
        <v>-0.01</v>
      </c>
    </row>
    <row r="3286" spans="3:3">
      <c r="C3286" s="1">
        <v>0.01</v>
      </c>
    </row>
    <row r="3287" spans="3:3">
      <c r="C3287" t="s">
        <v>1287</v>
      </c>
    </row>
    <row r="3288" spans="3:3">
      <c r="C3288" t="s">
        <v>1286</v>
      </c>
    </row>
    <row r="3289" spans="3:3">
      <c r="C3289" t="s">
        <v>2725</v>
      </c>
    </row>
    <row r="3290" spans="3:3">
      <c r="C3290" t="s">
        <v>1288</v>
      </c>
    </row>
    <row r="3291" spans="3:3">
      <c r="C3291" t="s">
        <v>2748</v>
      </c>
    </row>
    <row r="3292" spans="3:3">
      <c r="C3292" t="s">
        <v>2749</v>
      </c>
    </row>
    <row r="3293" spans="3:3">
      <c r="C3293" t="s">
        <v>2750</v>
      </c>
    </row>
    <row r="3294" spans="3:3">
      <c r="C3294" t="s">
        <v>2751</v>
      </c>
    </row>
    <row r="3295" spans="3:3">
      <c r="C3295" t="s">
        <v>2752</v>
      </c>
    </row>
    <row r="3296" spans="3:3">
      <c r="C3296" t="s">
        <v>2753</v>
      </c>
    </row>
    <row r="3297" spans="3:3">
      <c r="C3297" t="s">
        <v>1295</v>
      </c>
    </row>
    <row r="3298" spans="3:3">
      <c r="C3298" t="s">
        <v>2749</v>
      </c>
    </row>
    <row r="3299" spans="3:3">
      <c r="C3299" t="s">
        <v>2748</v>
      </c>
    </row>
    <row r="3300" spans="3:3">
      <c r="C3300" t="s">
        <v>2751</v>
      </c>
    </row>
    <row r="3301" spans="3:3">
      <c r="C3301" t="s">
        <v>2750</v>
      </c>
    </row>
    <row r="3302" spans="3:3">
      <c r="C3302" t="s">
        <v>2754</v>
      </c>
    </row>
    <row r="3303" spans="3:3">
      <c r="C3303" t="s">
        <v>2755</v>
      </c>
    </row>
    <row r="3304" spans="3:3">
      <c r="C3304" t="s">
        <v>2729</v>
      </c>
    </row>
    <row r="3305" spans="3:3">
      <c r="C3305" t="s">
        <v>1288</v>
      </c>
    </row>
    <row r="3306" spans="3:3">
      <c r="C3306" t="s">
        <v>2293</v>
      </c>
    </row>
    <row r="3307" spans="3:3">
      <c r="C3307" t="s">
        <v>2756</v>
      </c>
    </row>
    <row r="3308" spans="3:3">
      <c r="C3308" t="s">
        <v>2757</v>
      </c>
    </row>
    <row r="3309" spans="3:3">
      <c r="C3309" t="s">
        <v>2758</v>
      </c>
    </row>
    <row r="3310" spans="3:3">
      <c r="C3310" t="s">
        <v>169</v>
      </c>
    </row>
    <row r="3311" spans="3:3">
      <c r="C3311" t="s">
        <v>1204</v>
      </c>
    </row>
    <row r="3312" spans="3:3">
      <c r="C3312" t="s">
        <v>1295</v>
      </c>
    </row>
    <row r="3313" spans="3:3">
      <c r="C3313" t="s">
        <v>2</v>
      </c>
    </row>
    <row r="3314" spans="3:3">
      <c r="C3314" t="s">
        <v>2</v>
      </c>
    </row>
    <row r="3315" spans="3:3">
      <c r="C3315" t="s">
        <v>2</v>
      </c>
    </row>
    <row r="3316" spans="3:3">
      <c r="C3316" t="s">
        <v>2</v>
      </c>
    </row>
    <row r="3317" spans="3:3">
      <c r="C3317" t="s">
        <v>2</v>
      </c>
    </row>
    <row r="3318" spans="3:3">
      <c r="C3318" t="s">
        <v>2</v>
      </c>
    </row>
    <row r="3319" spans="3:3">
      <c r="C3319" t="s">
        <v>813</v>
      </c>
    </row>
    <row r="3320" spans="3:3">
      <c r="C3320" t="s">
        <v>814</v>
      </c>
    </row>
    <row r="3321" spans="3:3">
      <c r="C3321" t="s">
        <v>319</v>
      </c>
    </row>
    <row r="3322" spans="3:3">
      <c r="C3322" t="s">
        <v>320</v>
      </c>
    </row>
    <row r="3323" spans="3:3">
      <c r="C3323">
        <v>60</v>
      </c>
    </row>
    <row r="3324" spans="3:3">
      <c r="C3324" t="s">
        <v>829</v>
      </c>
    </row>
    <row r="3325" spans="3:3">
      <c r="C3325" t="s">
        <v>1283</v>
      </c>
    </row>
    <row r="3326" spans="3:3">
      <c r="C3326" t="s">
        <v>1284</v>
      </c>
    </row>
    <row r="3327" spans="3:3">
      <c r="C3327" t="s">
        <v>2747</v>
      </c>
    </row>
    <row r="3328" spans="3:3">
      <c r="C3328" s="1">
        <v>-0.1</v>
      </c>
    </row>
    <row r="3329" spans="3:3">
      <c r="C3329" s="1">
        <v>0.1</v>
      </c>
    </row>
    <row r="3330" spans="3:3">
      <c r="C3330" s="1">
        <v>-0.1</v>
      </c>
    </row>
    <row r="3331" spans="3:3">
      <c r="C3331" s="1">
        <v>0.1</v>
      </c>
    </row>
    <row r="3332" spans="3:3">
      <c r="C3332" t="s">
        <v>1287</v>
      </c>
    </row>
    <row r="3333" spans="3:3">
      <c r="C3333" t="s">
        <v>1286</v>
      </c>
    </row>
    <row r="3334" spans="3:3">
      <c r="C3334" t="s">
        <v>2759</v>
      </c>
    </row>
    <row r="3335" spans="3:3">
      <c r="C3335" t="s">
        <v>1288</v>
      </c>
    </row>
    <row r="3336" spans="3:3">
      <c r="C3336" t="s">
        <v>2760</v>
      </c>
    </row>
    <row r="3337" spans="3:3">
      <c r="C3337" t="s">
        <v>1098</v>
      </c>
    </row>
    <row r="3338" spans="3:3">
      <c r="C3338" t="s">
        <v>170</v>
      </c>
    </row>
    <row r="3339" spans="3:3">
      <c r="C3339" t="s">
        <v>2761</v>
      </c>
    </row>
    <row r="3340" spans="3:3">
      <c r="C3340" t="s">
        <v>2762</v>
      </c>
    </row>
    <row r="3341" spans="3:3">
      <c r="C3341" t="s">
        <v>2763</v>
      </c>
    </row>
    <row r="3342" spans="3:3">
      <c r="C3342" t="s">
        <v>1295</v>
      </c>
    </row>
    <row r="3343" spans="3:3">
      <c r="C3343" t="s">
        <v>2764</v>
      </c>
    </row>
    <row r="3344" spans="3:3">
      <c r="C3344" t="s">
        <v>171</v>
      </c>
    </row>
    <row r="3345" spans="3:3">
      <c r="C3345" t="s">
        <v>2765</v>
      </c>
    </row>
    <row r="3346" spans="3:3">
      <c r="C3346" t="s">
        <v>2766</v>
      </c>
    </row>
    <row r="3347" spans="3:3">
      <c r="C3347" t="s">
        <v>2767</v>
      </c>
    </row>
    <row r="3348" spans="3:3">
      <c r="C3348" t="s">
        <v>141</v>
      </c>
    </row>
    <row r="3349" spans="3:3">
      <c r="C3349" t="s">
        <v>2768</v>
      </c>
    </row>
    <row r="3350" spans="3:3">
      <c r="C3350" t="s">
        <v>2769</v>
      </c>
    </row>
    <row r="3351" spans="3:3">
      <c r="C3351" t="s">
        <v>2770</v>
      </c>
    </row>
    <row r="3352" spans="3:3">
      <c r="C3352" t="s">
        <v>2745</v>
      </c>
    </row>
    <row r="3353" spans="3:3">
      <c r="C3353" t="s">
        <v>2746</v>
      </c>
    </row>
    <row r="3354" spans="3:3">
      <c r="C3354" t="s">
        <v>2747</v>
      </c>
    </row>
    <row r="3355" spans="3:3">
      <c r="C3355" s="1">
        <v>-0.01</v>
      </c>
    </row>
    <row r="3356" spans="3:3">
      <c r="C3356" s="1">
        <v>0.01</v>
      </c>
    </row>
    <row r="3357" spans="3:3">
      <c r="C3357" s="1">
        <v>-0.01</v>
      </c>
    </row>
    <row r="3358" spans="3:3">
      <c r="C3358" s="1">
        <v>0.01</v>
      </c>
    </row>
    <row r="3359" spans="3:3">
      <c r="C3359" t="s">
        <v>1287</v>
      </c>
    </row>
    <row r="3360" spans="3:3">
      <c r="C3360" t="s">
        <v>1286</v>
      </c>
    </row>
    <row r="3361" spans="3:3">
      <c r="C3361" t="s">
        <v>2729</v>
      </c>
    </row>
    <row r="3362" spans="3:3">
      <c r="C3362" t="s">
        <v>1288</v>
      </c>
    </row>
    <row r="3363" spans="3:3">
      <c r="C3363" t="s">
        <v>2771</v>
      </c>
    </row>
    <row r="3364" spans="3:3">
      <c r="C3364" t="s">
        <v>140</v>
      </c>
    </row>
    <row r="3365" spans="3:3">
      <c r="C3365" t="s">
        <v>2772</v>
      </c>
    </row>
    <row r="3366" spans="3:3">
      <c r="C3366" t="s">
        <v>2773</v>
      </c>
    </row>
    <row r="3367" spans="3:3">
      <c r="C3367" t="s">
        <v>2394</v>
      </c>
    </row>
    <row r="3368" spans="3:3">
      <c r="C3368" t="s">
        <v>2774</v>
      </c>
    </row>
    <row r="3369" spans="3:3">
      <c r="C3369" t="s">
        <v>1295</v>
      </c>
    </row>
    <row r="3370" spans="3:3">
      <c r="C3370" t="s">
        <v>140</v>
      </c>
    </row>
    <row r="3371" spans="3:3">
      <c r="C3371" t="s">
        <v>2732</v>
      </c>
    </row>
    <row r="3372" spans="3:3">
      <c r="C3372" t="s">
        <v>2732</v>
      </c>
    </row>
    <row r="3373" spans="3:3">
      <c r="C3373" t="s">
        <v>2772</v>
      </c>
    </row>
    <row r="3374" spans="3:3">
      <c r="C3374" t="s">
        <v>2775</v>
      </c>
    </row>
    <row r="3375" spans="3:3">
      <c r="C3375" t="s">
        <v>2776</v>
      </c>
    </row>
    <row r="3376" spans="3:3">
      <c r="C3376" t="s">
        <v>2675</v>
      </c>
    </row>
    <row r="3377" spans="3:3">
      <c r="C3377" t="s">
        <v>1258</v>
      </c>
    </row>
    <row r="3378" spans="3:3">
      <c r="C3378" t="s">
        <v>1259</v>
      </c>
    </row>
    <row r="3379" spans="3:3">
      <c r="C3379" t="s">
        <v>1260</v>
      </c>
    </row>
    <row r="3380" spans="3:3">
      <c r="C3380" t="s">
        <v>1261</v>
      </c>
    </row>
    <row r="3381" spans="3:3">
      <c r="C3381" t="s">
        <v>1262</v>
      </c>
    </row>
    <row r="3382" spans="3:3">
      <c r="C3382" t="s">
        <v>1263</v>
      </c>
    </row>
    <row r="3383" spans="3:3">
      <c r="C3383" t="s">
        <v>1264</v>
      </c>
    </row>
    <row r="3384" spans="3:3">
      <c r="C3384" t="s">
        <v>1265</v>
      </c>
    </row>
    <row r="3385" spans="3:3">
      <c r="C3385" t="s">
        <v>2777</v>
      </c>
    </row>
    <row r="3386" spans="3:3">
      <c r="C3386" t="s">
        <v>813</v>
      </c>
    </row>
    <row r="3387" spans="3:3">
      <c r="C3387" t="s">
        <v>814</v>
      </c>
    </row>
    <row r="3388" spans="3:3">
      <c r="C3388" t="s">
        <v>319</v>
      </c>
    </row>
    <row r="3389" spans="3:3">
      <c r="C3389" t="s">
        <v>320</v>
      </c>
    </row>
    <row r="3390" spans="3:3">
      <c r="C3390">
        <v>61</v>
      </c>
    </row>
    <row r="3391" spans="3:3">
      <c r="C3391" t="s">
        <v>829</v>
      </c>
    </row>
    <row r="3392" spans="3:3">
      <c r="C3392" t="s">
        <v>1266</v>
      </c>
    </row>
    <row r="3393" spans="3:3">
      <c r="C3393" t="s">
        <v>1267</v>
      </c>
    </row>
    <row r="3394" spans="3:3">
      <c r="C3394" t="s">
        <v>1268</v>
      </c>
    </row>
    <row r="3395" spans="3:3">
      <c r="C3395" t="s">
        <v>1269</v>
      </c>
    </row>
    <row r="3396" spans="3:3">
      <c r="C3396" t="s">
        <v>1270</v>
      </c>
    </row>
    <row r="3397" spans="3:3">
      <c r="C3397" t="s">
        <v>1271</v>
      </c>
    </row>
    <row r="3398" spans="3:3">
      <c r="C3398" t="s">
        <v>1272</v>
      </c>
    </row>
    <row r="3399" spans="3:3">
      <c r="C3399" t="s">
        <v>1273</v>
      </c>
    </row>
    <row r="3400" spans="3:3">
      <c r="C3400" t="s">
        <v>1274</v>
      </c>
    </row>
    <row r="3401" spans="3:3">
      <c r="C3401" t="s">
        <v>1275</v>
      </c>
    </row>
    <row r="3402" spans="3:3">
      <c r="C3402" t="s">
        <v>1276</v>
      </c>
    </row>
    <row r="3403" spans="3:3">
      <c r="C3403" t="s">
        <v>1277</v>
      </c>
    </row>
    <row r="3404" spans="3:3">
      <c r="C3404" t="s">
        <v>2778</v>
      </c>
    </row>
    <row r="3405" spans="3:3">
      <c r="C3405" t="s">
        <v>1278</v>
      </c>
    </row>
    <row r="3406" spans="3:3">
      <c r="C3406" t="s">
        <v>1279</v>
      </c>
    </row>
    <row r="3407" spans="3:3">
      <c r="C3407" t="s">
        <v>1280</v>
      </c>
    </row>
    <row r="3408" spans="3:3">
      <c r="C3408" t="s">
        <v>495</v>
      </c>
    </row>
    <row r="3409" spans="3:3">
      <c r="C3409" t="s">
        <v>1281</v>
      </c>
    </row>
    <row r="3410" spans="3:3">
      <c r="C3410" t="s">
        <v>1282</v>
      </c>
    </row>
    <row r="3411" spans="3:3">
      <c r="C3411" t="s">
        <v>1283</v>
      </c>
    </row>
    <row r="3412" spans="3:3">
      <c r="C3412" t="s">
        <v>1284</v>
      </c>
    </row>
    <row r="3413" spans="3:3">
      <c r="C3413" t="s">
        <v>1285</v>
      </c>
    </row>
    <row r="3414" spans="3:3">
      <c r="C3414" s="1">
        <v>0.1</v>
      </c>
    </row>
    <row r="3415" spans="3:3">
      <c r="C3415" s="1">
        <v>-0.1</v>
      </c>
    </row>
    <row r="3416" spans="3:3">
      <c r="C3416" s="1">
        <v>0.1</v>
      </c>
    </row>
    <row r="3417" spans="3:3">
      <c r="C3417" s="1">
        <v>-0.1</v>
      </c>
    </row>
    <row r="3418" spans="3:3">
      <c r="C3418" t="s">
        <v>1286</v>
      </c>
    </row>
    <row r="3419" spans="3:3">
      <c r="C3419" t="s">
        <v>1287</v>
      </c>
    </row>
    <row r="3420" spans="3:3">
      <c r="C3420" t="s">
        <v>1288</v>
      </c>
    </row>
    <row r="3421" spans="3:3">
      <c r="C3421" t="s">
        <v>1125</v>
      </c>
    </row>
    <row r="3422" spans="3:3">
      <c r="C3422" t="s">
        <v>1289</v>
      </c>
    </row>
    <row r="3423" spans="3:3">
      <c r="C3423" t="s">
        <v>737</v>
      </c>
    </row>
    <row r="3424" spans="3:3">
      <c r="C3424" t="s">
        <v>1290</v>
      </c>
    </row>
    <row r="3425" spans="3:3">
      <c r="C3425" t="s">
        <v>1291</v>
      </c>
    </row>
    <row r="3426" spans="3:3">
      <c r="C3426" t="s">
        <v>1292</v>
      </c>
    </row>
    <row r="3427" spans="3:3">
      <c r="C3427" t="s">
        <v>813</v>
      </c>
    </row>
    <row r="3428" spans="3:3">
      <c r="C3428" t="s">
        <v>814</v>
      </c>
    </row>
    <row r="3429" spans="3:3">
      <c r="C3429" t="s">
        <v>319</v>
      </c>
    </row>
    <row r="3430" spans="3:3">
      <c r="C3430" t="s">
        <v>320</v>
      </c>
    </row>
    <row r="3431" spans="3:3">
      <c r="C3431">
        <v>62</v>
      </c>
    </row>
    <row r="3432" spans="3:3">
      <c r="C3432" t="s">
        <v>829</v>
      </c>
    </row>
    <row r="3433" spans="3:3">
      <c r="C3433" t="s">
        <v>1296</v>
      </c>
    </row>
    <row r="3434" spans="3:3">
      <c r="C3434" t="s">
        <v>1297</v>
      </c>
    </row>
    <row r="3435" spans="3:3">
      <c r="C3435" t="s">
        <v>1298</v>
      </c>
    </row>
    <row r="3436" spans="3:3">
      <c r="C3436" t="s">
        <v>1299</v>
      </c>
    </row>
    <row r="3437" spans="3:3">
      <c r="C3437" t="s">
        <v>1300</v>
      </c>
    </row>
    <row r="3438" spans="3:3">
      <c r="C3438" t="s">
        <v>1301</v>
      </c>
    </row>
    <row r="3439" spans="3:3">
      <c r="C3439" t="s">
        <v>1302</v>
      </c>
    </row>
    <row r="3440" spans="3:3">
      <c r="C3440" t="s">
        <v>1303</v>
      </c>
    </row>
    <row r="3441" spans="3:3">
      <c r="C3441" t="s">
        <v>1304</v>
      </c>
    </row>
    <row r="3442" spans="3:3">
      <c r="C3442" t="s">
        <v>1305</v>
      </c>
    </row>
    <row r="3443" spans="3:3">
      <c r="C3443" t="s">
        <v>1306</v>
      </c>
    </row>
    <row r="3444" spans="3:3">
      <c r="C3444" t="s">
        <v>415</v>
      </c>
    </row>
    <row r="3445" spans="3:3">
      <c r="C3445" t="s">
        <v>1307</v>
      </c>
    </row>
    <row r="3446" spans="3:3">
      <c r="C3446" t="s">
        <v>2779</v>
      </c>
    </row>
    <row r="3447" spans="3:3">
      <c r="C3447" t="s">
        <v>1308</v>
      </c>
    </row>
    <row r="3448" spans="3:3">
      <c r="C3448" t="s">
        <v>2780</v>
      </c>
    </row>
    <row r="3449" spans="3:3">
      <c r="C3449" t="s">
        <v>2781</v>
      </c>
    </row>
    <row r="3450" spans="3:3">
      <c r="C3450" t="s">
        <v>1309</v>
      </c>
    </row>
    <row r="3451" spans="3:3">
      <c r="C3451" t="s">
        <v>1310</v>
      </c>
    </row>
    <row r="3452" spans="3:3">
      <c r="C3452" t="s">
        <v>1311</v>
      </c>
    </row>
    <row r="3453" spans="3:3">
      <c r="C3453" t="s">
        <v>813</v>
      </c>
    </row>
    <row r="3454" spans="3:3">
      <c r="C3454" t="s">
        <v>814</v>
      </c>
    </row>
    <row r="3455" spans="3:3">
      <c r="C3455" t="s">
        <v>319</v>
      </c>
    </row>
    <row r="3456" spans="3:3">
      <c r="C3456" t="s">
        <v>320</v>
      </c>
    </row>
    <row r="3457" spans="3:3">
      <c r="C3457">
        <v>63</v>
      </c>
    </row>
    <row r="3458" spans="3:3">
      <c r="C3458" t="s">
        <v>829</v>
      </c>
    </row>
    <row r="3459" spans="3:3">
      <c r="C3459" t="s">
        <v>2782</v>
      </c>
    </row>
    <row r="3460" spans="3:3">
      <c r="C3460" t="s">
        <v>2783</v>
      </c>
    </row>
    <row r="3461" spans="3:3">
      <c r="C3461" t="s">
        <v>2784</v>
      </c>
    </row>
    <row r="3462" spans="3:3">
      <c r="C3462" t="s">
        <v>2785</v>
      </c>
    </row>
    <row r="3463" spans="3:3">
      <c r="C3463" t="s">
        <v>2786</v>
      </c>
    </row>
    <row r="3464" spans="3:3">
      <c r="C3464" t="s">
        <v>2787</v>
      </c>
    </row>
    <row r="3465" spans="3:3">
      <c r="C3465" t="s">
        <v>2788</v>
      </c>
    </row>
    <row r="3466" spans="3:3">
      <c r="C3466" t="s">
        <v>2789</v>
      </c>
    </row>
    <row r="3467" spans="3:3">
      <c r="C3467" t="s">
        <v>2790</v>
      </c>
    </row>
    <row r="3468" spans="3:3">
      <c r="C3468" t="s">
        <v>2791</v>
      </c>
    </row>
    <row r="3469" spans="3:3">
      <c r="C3469" t="s">
        <v>2792</v>
      </c>
    </row>
    <row r="3470" spans="3:3">
      <c r="C3470" t="s">
        <v>2793</v>
      </c>
    </row>
    <row r="3471" spans="3:3">
      <c r="C3471" t="s">
        <v>2794</v>
      </c>
    </row>
    <row r="3472" spans="3:3">
      <c r="C3472" t="s">
        <v>2795</v>
      </c>
    </row>
    <row r="3473" spans="3:3">
      <c r="C3473" t="s">
        <v>2796</v>
      </c>
    </row>
    <row r="3474" spans="3:3">
      <c r="C3474" t="s">
        <v>2797</v>
      </c>
    </row>
    <row r="3475" spans="3:3">
      <c r="C3475" t="s">
        <v>2798</v>
      </c>
    </row>
    <row r="3476" spans="3:3">
      <c r="C3476" t="s">
        <v>2799</v>
      </c>
    </row>
    <row r="3477" spans="3:3">
      <c r="C3477" t="s">
        <v>2800</v>
      </c>
    </row>
    <row r="3478" spans="3:3">
      <c r="C3478" t="s">
        <v>2801</v>
      </c>
    </row>
    <row r="3479" spans="3:3">
      <c r="C3479" t="s">
        <v>2802</v>
      </c>
    </row>
    <row r="3480" spans="3:3">
      <c r="C3480" t="s">
        <v>2803</v>
      </c>
    </row>
    <row r="3481" spans="3:3">
      <c r="C3481" t="s">
        <v>2804</v>
      </c>
    </row>
    <row r="3482" spans="3:3">
      <c r="C3482" t="s">
        <v>2805</v>
      </c>
    </row>
    <row r="3483" spans="3:3">
      <c r="C3483" t="s">
        <v>2806</v>
      </c>
    </row>
    <row r="3484" spans="3:3">
      <c r="C3484" t="s">
        <v>2807</v>
      </c>
    </row>
    <row r="3485" spans="3:3">
      <c r="C3485" t="s">
        <v>2808</v>
      </c>
    </row>
    <row r="3486" spans="3:3">
      <c r="C3486" t="s">
        <v>2809</v>
      </c>
    </row>
    <row r="3487" spans="3:3">
      <c r="C3487" t="s">
        <v>1100</v>
      </c>
    </row>
    <row r="3488" spans="3:3">
      <c r="C3488" t="s">
        <v>2810</v>
      </c>
    </row>
    <row r="3489" spans="3:3">
      <c r="C3489" t="s">
        <v>2811</v>
      </c>
    </row>
    <row r="3490" spans="3:3">
      <c r="C3490" t="s">
        <v>2812</v>
      </c>
    </row>
    <row r="3491" spans="3:3">
      <c r="C3491" t="s">
        <v>2813</v>
      </c>
    </row>
    <row r="3492" spans="3:3">
      <c r="C3492" t="s">
        <v>177</v>
      </c>
    </row>
    <row r="3493" spans="3:3">
      <c r="C3493" t="s">
        <v>2814</v>
      </c>
    </row>
    <row r="3494" spans="3:3">
      <c r="C3494" t="s">
        <v>177</v>
      </c>
    </row>
    <row r="3495" spans="3:3">
      <c r="C3495" t="s">
        <v>2815</v>
      </c>
    </row>
    <row r="3496" spans="3:3">
      <c r="C3496" t="s">
        <v>2816</v>
      </c>
    </row>
    <row r="3497" spans="3:3">
      <c r="C3497" t="s">
        <v>2817</v>
      </c>
    </row>
    <row r="3498" spans="3:3">
      <c r="C3498" t="s">
        <v>2818</v>
      </c>
    </row>
    <row r="3499" spans="3:3">
      <c r="C3499" t="s">
        <v>2819</v>
      </c>
    </row>
    <row r="3500" spans="3:3">
      <c r="C3500" t="s">
        <v>2820</v>
      </c>
    </row>
    <row r="3501" spans="3:3">
      <c r="C3501" t="s">
        <v>2821</v>
      </c>
    </row>
    <row r="3502" spans="3:3">
      <c r="C3502" t="s">
        <v>2822</v>
      </c>
    </row>
    <row r="3503" spans="3:3">
      <c r="C3503" t="s">
        <v>2823</v>
      </c>
    </row>
    <row r="3504" spans="3:3">
      <c r="C3504" t="s">
        <v>2824</v>
      </c>
    </row>
    <row r="3505" spans="3:3">
      <c r="C3505" t="s">
        <v>2825</v>
      </c>
    </row>
    <row r="3506" spans="3:3">
      <c r="C3506" t="s">
        <v>2826</v>
      </c>
    </row>
    <row r="3507" spans="3:3">
      <c r="C3507" t="s">
        <v>2824</v>
      </c>
    </row>
    <row r="3508" spans="3:3">
      <c r="C3508" t="s">
        <v>2802</v>
      </c>
    </row>
    <row r="3509" spans="3:3">
      <c r="C3509" t="s">
        <v>2827</v>
      </c>
    </row>
    <row r="3510" spans="3:3">
      <c r="C3510" t="s">
        <v>2828</v>
      </c>
    </row>
    <row r="3511" spans="3:3">
      <c r="C3511" t="s">
        <v>2829</v>
      </c>
    </row>
    <row r="3512" spans="3:3">
      <c r="C3512" t="s">
        <v>2830</v>
      </c>
    </row>
    <row r="3513" spans="3:3">
      <c r="C3513" t="s">
        <v>2798</v>
      </c>
    </row>
    <row r="3514" spans="3:3">
      <c r="C3514" t="s">
        <v>2831</v>
      </c>
    </row>
    <row r="3515" spans="3:3">
      <c r="C3515" t="s">
        <v>158</v>
      </c>
    </row>
    <row r="3516" spans="3:3">
      <c r="C3516" t="s">
        <v>2832</v>
      </c>
    </row>
    <row r="3517" spans="3:3">
      <c r="C3517" t="s">
        <v>2833</v>
      </c>
    </row>
    <row r="3518" spans="3:3">
      <c r="C3518" t="s">
        <v>2798</v>
      </c>
    </row>
    <row r="3519" spans="3:3">
      <c r="C3519" t="s">
        <v>2834</v>
      </c>
    </row>
    <row r="3520" spans="3:3">
      <c r="C3520" t="s">
        <v>2835</v>
      </c>
    </row>
    <row r="3521" spans="3:3">
      <c r="C3521" t="s">
        <v>2836</v>
      </c>
    </row>
    <row r="3522" spans="3:3">
      <c r="C3522" t="s">
        <v>2837</v>
      </c>
    </row>
    <row r="3523" spans="3:3">
      <c r="C3523" t="s">
        <v>2838</v>
      </c>
    </row>
    <row r="3524" spans="3:3">
      <c r="C3524" t="s">
        <v>2839</v>
      </c>
    </row>
    <row r="3525" spans="3:3">
      <c r="C3525" t="s">
        <v>2840</v>
      </c>
    </row>
    <row r="3526" spans="3:3">
      <c r="C3526" t="s">
        <v>2841</v>
      </c>
    </row>
    <row r="3527" spans="3:3">
      <c r="C3527" t="s">
        <v>2842</v>
      </c>
    </row>
    <row r="3528" spans="3:3">
      <c r="C3528" t="s">
        <v>2802</v>
      </c>
    </row>
    <row r="3529" spans="3:3">
      <c r="C3529" t="s">
        <v>2843</v>
      </c>
    </row>
    <row r="3530" spans="3:3">
      <c r="C3530" t="s">
        <v>2844</v>
      </c>
    </row>
    <row r="3531" spans="3:3">
      <c r="C3531" t="s">
        <v>2845</v>
      </c>
    </row>
    <row r="3532" spans="3:3">
      <c r="C3532" t="s">
        <v>2846</v>
      </c>
    </row>
    <row r="3533" spans="3:3">
      <c r="C3533" t="s">
        <v>1100</v>
      </c>
    </row>
    <row r="3534" spans="3:3">
      <c r="C3534" t="s">
        <v>2847</v>
      </c>
    </row>
    <row r="3535" spans="3:3">
      <c r="C3535" t="s">
        <v>2848</v>
      </c>
    </row>
    <row r="3536" spans="3:3">
      <c r="C3536" t="s">
        <v>2849</v>
      </c>
    </row>
    <row r="3537" spans="3:3">
      <c r="C3537" t="s">
        <v>813</v>
      </c>
    </row>
    <row r="3538" spans="3:3">
      <c r="C3538" t="s">
        <v>814</v>
      </c>
    </row>
    <row r="3539" spans="3:3">
      <c r="C3539" t="s">
        <v>319</v>
      </c>
    </row>
    <row r="3540" spans="3:3">
      <c r="C3540" t="s">
        <v>320</v>
      </c>
    </row>
    <row r="3541" spans="3:3">
      <c r="C3541">
        <v>64</v>
      </c>
    </row>
    <row r="3542" spans="3:3">
      <c r="C3542" t="s">
        <v>829</v>
      </c>
    </row>
    <row r="3543" spans="3:3">
      <c r="C3543" t="s">
        <v>2850</v>
      </c>
    </row>
    <row r="3544" spans="3:3">
      <c r="C3544" t="s">
        <v>78</v>
      </c>
    </row>
    <row r="3545" spans="3:3">
      <c r="C3545" t="s">
        <v>10</v>
      </c>
    </row>
    <row r="3546" spans="3:3">
      <c r="C3546" t="s">
        <v>2851</v>
      </c>
    </row>
    <row r="3547" spans="3:3">
      <c r="C3547" t="s">
        <v>2852</v>
      </c>
    </row>
    <row r="3548" spans="3:3">
      <c r="C3548" t="s">
        <v>2853</v>
      </c>
    </row>
    <row r="3549" spans="3:3">
      <c r="C3549" t="s">
        <v>2854</v>
      </c>
    </row>
    <row r="3550" spans="3:3">
      <c r="C3550" t="s">
        <v>2855</v>
      </c>
    </row>
    <row r="3551" spans="3:3">
      <c r="C3551" t="s">
        <v>2856</v>
      </c>
    </row>
    <row r="3552" spans="3:3">
      <c r="C3552" t="s">
        <v>2857</v>
      </c>
    </row>
    <row r="3553" spans="3:3">
      <c r="C3553" t="s">
        <v>2858</v>
      </c>
    </row>
    <row r="3554" spans="3:3">
      <c r="C3554" t="s">
        <v>2859</v>
      </c>
    </row>
    <row r="3555" spans="3:3">
      <c r="C3555" t="s">
        <v>2860</v>
      </c>
    </row>
    <row r="3556" spans="3:3">
      <c r="C3556" t="s">
        <v>2861</v>
      </c>
    </row>
    <row r="3557" spans="3:3">
      <c r="C3557" t="s">
        <v>2862</v>
      </c>
    </row>
    <row r="3558" spans="3:3">
      <c r="C3558" t="s">
        <v>2863</v>
      </c>
    </row>
    <row r="3559" spans="3:3">
      <c r="C3559" t="s">
        <v>2864</v>
      </c>
    </row>
    <row r="3560" spans="3:3">
      <c r="C3560" t="s">
        <v>2865</v>
      </c>
    </row>
    <row r="3561" spans="3:3">
      <c r="C3561" t="s">
        <v>1456</v>
      </c>
    </row>
    <row r="3562" spans="3:3">
      <c r="C3562" t="s">
        <v>2866</v>
      </c>
    </row>
    <row r="3563" spans="3:3">
      <c r="C3563" t="s">
        <v>2867</v>
      </c>
    </row>
    <row r="3564" spans="3:3">
      <c r="C3564" t="s">
        <v>2868</v>
      </c>
    </row>
    <row r="3565" spans="3:3">
      <c r="C3565" t="s">
        <v>2869</v>
      </c>
    </row>
    <row r="3566" spans="3:3">
      <c r="C3566" t="s">
        <v>1315</v>
      </c>
    </row>
    <row r="3567" spans="3:3">
      <c r="C3567" t="s">
        <v>2870</v>
      </c>
    </row>
    <row r="3568" spans="3:3">
      <c r="C3568" t="s">
        <v>2871</v>
      </c>
    </row>
    <row r="3569" spans="3:3">
      <c r="C3569" t="s">
        <v>2872</v>
      </c>
    </row>
    <row r="3570" spans="3:3">
      <c r="C3570" t="s">
        <v>2873</v>
      </c>
    </row>
    <row r="3571" spans="3:3">
      <c r="C3571" t="s">
        <v>2874</v>
      </c>
    </row>
    <row r="3572" spans="3:3">
      <c r="C3572" t="s">
        <v>1314</v>
      </c>
    </row>
    <row r="3573" spans="3:3">
      <c r="C3573" t="s">
        <v>1315</v>
      </c>
    </row>
    <row r="3574" spans="3:3">
      <c r="C3574" t="s">
        <v>1316</v>
      </c>
    </row>
    <row r="3575" spans="3:3">
      <c r="C3575" t="s">
        <v>1317</v>
      </c>
    </row>
    <row r="3576" spans="3:3">
      <c r="C3576" t="s">
        <v>1318</v>
      </c>
    </row>
    <row r="3577" spans="3:3">
      <c r="C3577" t="s">
        <v>1319</v>
      </c>
    </row>
    <row r="3578" spans="3:3">
      <c r="C3578" t="s">
        <v>2875</v>
      </c>
    </row>
    <row r="3579" spans="3:3">
      <c r="C3579" t="s">
        <v>813</v>
      </c>
    </row>
    <row r="3580" spans="3:3">
      <c r="C3580" t="s">
        <v>814</v>
      </c>
    </row>
    <row r="3581" spans="3:3">
      <c r="C3581" t="s">
        <v>319</v>
      </c>
    </row>
    <row r="3582" spans="3:3">
      <c r="C3582" t="s">
        <v>320</v>
      </c>
    </row>
    <row r="3583" spans="3:3">
      <c r="C3583">
        <v>65</v>
      </c>
    </row>
    <row r="3584" spans="3:3">
      <c r="C3584" t="s">
        <v>829</v>
      </c>
    </row>
    <row r="3585" spans="3:3">
      <c r="C3585" t="s">
        <v>1320</v>
      </c>
    </row>
    <row r="3586" spans="3:3">
      <c r="C3586" t="s">
        <v>1324</v>
      </c>
    </row>
    <row r="3587" spans="3:3">
      <c r="C3587" t="s">
        <v>2876</v>
      </c>
    </row>
    <row r="3588" spans="3:3">
      <c r="C3588" t="s">
        <v>2877</v>
      </c>
    </row>
    <row r="3589" spans="3:3">
      <c r="C3589" t="s">
        <v>2878</v>
      </c>
    </row>
    <row r="3590" spans="3:3">
      <c r="C3590" t="s">
        <v>2879</v>
      </c>
    </row>
    <row r="3591" spans="3:3">
      <c r="C3591" t="s">
        <v>2880</v>
      </c>
    </row>
    <row r="3592" spans="3:3">
      <c r="C3592" t="s">
        <v>2881</v>
      </c>
    </row>
    <row r="3593" spans="3:3">
      <c r="C3593" t="s">
        <v>2882</v>
      </c>
    </row>
    <row r="3594" spans="3:3">
      <c r="C3594" t="s">
        <v>2883</v>
      </c>
    </row>
    <row r="3595" spans="3:3">
      <c r="C3595" t="s">
        <v>2884</v>
      </c>
    </row>
    <row r="3596" spans="3:3">
      <c r="C3596" t="s">
        <v>1321</v>
      </c>
    </row>
    <row r="3597" spans="3:3">
      <c r="C3597" t="s">
        <v>393</v>
      </c>
    </row>
    <row r="3598" spans="3:3">
      <c r="C3598" t="s">
        <v>2885</v>
      </c>
    </row>
    <row r="3599" spans="3:3">
      <c r="C3599" t="s">
        <v>2886</v>
      </c>
    </row>
    <row r="3600" spans="3:3">
      <c r="C3600" t="s">
        <v>2887</v>
      </c>
    </row>
    <row r="3601" spans="3:3">
      <c r="C3601" t="s">
        <v>2888</v>
      </c>
    </row>
    <row r="3602" spans="3:3">
      <c r="C3602" t="s">
        <v>2889</v>
      </c>
    </row>
    <row r="3603" spans="3:3">
      <c r="C3603" t="s">
        <v>2890</v>
      </c>
    </row>
    <row r="3604" spans="3:3">
      <c r="C3604" t="s">
        <v>2891</v>
      </c>
    </row>
    <row r="3605" spans="3:3">
      <c r="C3605" t="s">
        <v>1322</v>
      </c>
    </row>
    <row r="3606" spans="3:3">
      <c r="C3606" t="s">
        <v>1323</v>
      </c>
    </row>
    <row r="3607" spans="3:3">
      <c r="C3607" t="s">
        <v>2892</v>
      </c>
    </row>
    <row r="3608" spans="3:3">
      <c r="C3608" t="s">
        <v>1324</v>
      </c>
    </row>
    <row r="3609" spans="3:3">
      <c r="C3609" t="s">
        <v>1325</v>
      </c>
    </row>
    <row r="3610" spans="3:3">
      <c r="C3610" t="s">
        <v>1324</v>
      </c>
    </row>
    <row r="3611" spans="3:3">
      <c r="C3611" t="s">
        <v>78</v>
      </c>
    </row>
    <row r="3612" spans="3:3">
      <c r="C3612" t="s">
        <v>10</v>
      </c>
    </row>
    <row r="3613" spans="3:3">
      <c r="C3613" t="s">
        <v>2893</v>
      </c>
    </row>
    <row r="3614" spans="3:3">
      <c r="C3614" t="s">
        <v>2894</v>
      </c>
    </row>
    <row r="3615" spans="3:3">
      <c r="C3615" t="s">
        <v>2895</v>
      </c>
    </row>
    <row r="3616" spans="3:3">
      <c r="C3616" t="s">
        <v>2896</v>
      </c>
    </row>
    <row r="3617" spans="3:3">
      <c r="C3617" t="s">
        <v>2897</v>
      </c>
    </row>
    <row r="3618" spans="3:3">
      <c r="C3618" t="s">
        <v>2898</v>
      </c>
    </row>
    <row r="3619" spans="3:3">
      <c r="C3619" t="s">
        <v>1326</v>
      </c>
    </row>
    <row r="3620" spans="3:3">
      <c r="C3620" t="s">
        <v>813</v>
      </c>
    </row>
    <row r="3621" spans="3:3">
      <c r="C3621" t="s">
        <v>814</v>
      </c>
    </row>
    <row r="3622" spans="3:3">
      <c r="C3622" t="s">
        <v>319</v>
      </c>
    </row>
    <row r="3623" spans="3:3">
      <c r="C3623" t="s">
        <v>320</v>
      </c>
    </row>
    <row r="3624" spans="3:3">
      <c r="C3624">
        <v>66</v>
      </c>
    </row>
    <row r="3625" spans="3:3">
      <c r="C3625" t="s">
        <v>829</v>
      </c>
    </row>
    <row r="3626" spans="3:3">
      <c r="C3626" t="s">
        <v>1327</v>
      </c>
    </row>
    <row r="3627" spans="3:3">
      <c r="C3627" t="s">
        <v>1324</v>
      </c>
    </row>
    <row r="3628" spans="3:3">
      <c r="C3628" t="s">
        <v>78</v>
      </c>
    </row>
    <row r="3629" spans="3:3">
      <c r="C3629" t="s">
        <v>10</v>
      </c>
    </row>
    <row r="3630" spans="3:3">
      <c r="C3630" t="s">
        <v>2899</v>
      </c>
    </row>
    <row r="3631" spans="3:3">
      <c r="C3631" t="s">
        <v>2900</v>
      </c>
    </row>
    <row r="3632" spans="3:3">
      <c r="C3632" t="s">
        <v>2901</v>
      </c>
    </row>
    <row r="3633" spans="3:3">
      <c r="C3633" t="s">
        <v>2902</v>
      </c>
    </row>
    <row r="3634" spans="3:3">
      <c r="C3634" t="s">
        <v>2897</v>
      </c>
    </row>
    <row r="3635" spans="3:3">
      <c r="C3635" t="s">
        <v>2903</v>
      </c>
    </row>
    <row r="3636" spans="3:3">
      <c r="C3636" t="s">
        <v>1328</v>
      </c>
    </row>
    <row r="3637" spans="3:3">
      <c r="C3637" t="s">
        <v>1329</v>
      </c>
    </row>
    <row r="3638" spans="3:3">
      <c r="C3638" t="s">
        <v>301</v>
      </c>
    </row>
    <row r="3639" spans="3:3">
      <c r="C3639" t="s">
        <v>302</v>
      </c>
    </row>
    <row r="3640" spans="3:3">
      <c r="C3640" t="s">
        <v>10</v>
      </c>
    </row>
    <row r="3641" spans="3:3">
      <c r="C3641" t="s">
        <v>1330</v>
      </c>
    </row>
    <row r="3642" spans="3:3">
      <c r="C3642" t="s">
        <v>304</v>
      </c>
    </row>
    <row r="3643" spans="3:3">
      <c r="C3643" t="s">
        <v>2904</v>
      </c>
    </row>
    <row r="3644" spans="3:3">
      <c r="C3644" t="s">
        <v>1331</v>
      </c>
    </row>
    <row r="3645" spans="3:3">
      <c r="C3645" t="s">
        <v>304</v>
      </c>
    </row>
    <row r="3646" spans="3:3">
      <c r="C3646" t="s">
        <v>2905</v>
      </c>
    </row>
    <row r="3647" spans="3:3">
      <c r="C3647" t="s">
        <v>1449</v>
      </c>
    </row>
    <row r="3648" spans="3:3">
      <c r="C3648" t="s">
        <v>304</v>
      </c>
    </row>
    <row r="3649" spans="3:3">
      <c r="C3649" t="s">
        <v>2906</v>
      </c>
    </row>
    <row r="3650" spans="3:3">
      <c r="C3650" t="s">
        <v>1449</v>
      </c>
    </row>
    <row r="3651" spans="3:3">
      <c r="C3651" t="s">
        <v>305</v>
      </c>
    </row>
    <row r="3652" spans="3:3">
      <c r="C3652" t="s">
        <v>2907</v>
      </c>
    </row>
    <row r="3653" spans="3:3">
      <c r="C3653" t="s">
        <v>2908</v>
      </c>
    </row>
    <row r="3654" spans="3:3">
      <c r="C3654" t="s">
        <v>304</v>
      </c>
    </row>
    <row r="3655" spans="3:3">
      <c r="C3655" t="s">
        <v>2909</v>
      </c>
    </row>
    <row r="3656" spans="3:3">
      <c r="C3656" t="s">
        <v>406</v>
      </c>
    </row>
    <row r="3657" spans="3:3">
      <c r="C3657" t="s">
        <v>2</v>
      </c>
    </row>
    <row r="3658" spans="3:3">
      <c r="C3658" t="s">
        <v>2910</v>
      </c>
    </row>
    <row r="3659" spans="3:3">
      <c r="C3659" t="s">
        <v>2911</v>
      </c>
    </row>
    <row r="3660" spans="3:3">
      <c r="C3660" t="s">
        <v>1332</v>
      </c>
    </row>
    <row r="3661" spans="3:3">
      <c r="C3661" t="s">
        <v>497</v>
      </c>
    </row>
    <row r="3662" spans="3:3">
      <c r="C3662" t="s">
        <v>498</v>
      </c>
    </row>
    <row r="3663" spans="3:3">
      <c r="C3663" t="s">
        <v>2912</v>
      </c>
    </row>
    <row r="3664" spans="3:3">
      <c r="C3664" t="s">
        <v>1333</v>
      </c>
    </row>
    <row r="3665" spans="3:3">
      <c r="C3665" t="s">
        <v>497</v>
      </c>
    </row>
    <row r="3666" spans="3:3">
      <c r="C3666" t="s">
        <v>1704</v>
      </c>
    </row>
    <row r="3667" spans="3:3">
      <c r="C3667" t="s">
        <v>10</v>
      </c>
    </row>
    <row r="3668" spans="3:3">
      <c r="C3668" t="s">
        <v>2913</v>
      </c>
    </row>
    <row r="3669" spans="3:3">
      <c r="C3669" t="s">
        <v>2914</v>
      </c>
    </row>
    <row r="3670" spans="3:3">
      <c r="C3670" t="s">
        <v>499</v>
      </c>
    </row>
    <row r="3671" spans="3:3">
      <c r="C3671" t="s">
        <v>2915</v>
      </c>
    </row>
    <row r="3672" spans="3:3">
      <c r="C3672" t="s">
        <v>2916</v>
      </c>
    </row>
    <row r="3673" spans="3:3">
      <c r="C3673" t="s">
        <v>172</v>
      </c>
    </row>
    <row r="3674" spans="3:3">
      <c r="C3674" t="s">
        <v>2917</v>
      </c>
    </row>
    <row r="3675" spans="3:3">
      <c r="C3675" t="s">
        <v>2918</v>
      </c>
    </row>
    <row r="3676" spans="3:3">
      <c r="C3676" t="s">
        <v>1334</v>
      </c>
    </row>
    <row r="3677" spans="3:3">
      <c r="C3677" t="s">
        <v>2919</v>
      </c>
    </row>
    <row r="3678" spans="3:3">
      <c r="C3678" t="s">
        <v>2920</v>
      </c>
    </row>
    <row r="3679" spans="3:3">
      <c r="C3679" t="s">
        <v>500</v>
      </c>
    </row>
    <row r="3680" spans="3:3">
      <c r="C3680" t="s">
        <v>2921</v>
      </c>
    </row>
    <row r="3681" spans="3:3">
      <c r="C3681" t="s">
        <v>2922</v>
      </c>
    </row>
    <row r="3682" spans="3:3">
      <c r="C3682" t="s">
        <v>813</v>
      </c>
    </row>
    <row r="3683" spans="3:3">
      <c r="C3683" t="s">
        <v>814</v>
      </c>
    </row>
    <row r="3684" spans="3:3">
      <c r="C3684" t="s">
        <v>319</v>
      </c>
    </row>
    <row r="3685" spans="3:3">
      <c r="C3685" t="s">
        <v>320</v>
      </c>
    </row>
    <row r="3686" spans="3:3">
      <c r="C3686">
        <v>67</v>
      </c>
    </row>
    <row r="3687" spans="3:3">
      <c r="C3687" t="s">
        <v>829</v>
      </c>
    </row>
    <row r="3688" spans="3:3">
      <c r="C3688" t="s">
        <v>1335</v>
      </c>
    </row>
    <row r="3689" spans="3:3">
      <c r="C3689" t="s">
        <v>1336</v>
      </c>
    </row>
    <row r="3690" spans="3:3">
      <c r="C3690" t="s">
        <v>1337</v>
      </c>
    </row>
    <row r="3691" spans="3:3">
      <c r="C3691" t="s">
        <v>1338</v>
      </c>
    </row>
    <row r="3692" spans="3:3">
      <c r="C3692" t="s">
        <v>1339</v>
      </c>
    </row>
    <row r="3693" spans="3:3">
      <c r="C3693" t="s">
        <v>178</v>
      </c>
    </row>
    <row r="3694" spans="3:3">
      <c r="C3694" t="s">
        <v>501</v>
      </c>
    </row>
    <row r="3695" spans="3:3">
      <c r="C3695" t="s">
        <v>1340</v>
      </c>
    </row>
    <row r="3696" spans="3:3">
      <c r="C3696" t="s">
        <v>2923</v>
      </c>
    </row>
    <row r="3697" spans="3:3">
      <c r="C3697" t="s">
        <v>415</v>
      </c>
    </row>
    <row r="3698" spans="3:3">
      <c r="C3698" t="s">
        <v>502</v>
      </c>
    </row>
    <row r="3699" spans="3:3">
      <c r="C3699" t="s">
        <v>1341</v>
      </c>
    </row>
    <row r="3700" spans="3:3">
      <c r="C3700" t="s">
        <v>2924</v>
      </c>
    </row>
    <row r="3701" spans="3:3">
      <c r="C3701" t="s">
        <v>503</v>
      </c>
    </row>
    <row r="3702" spans="3:3">
      <c r="C3702" t="s">
        <v>178</v>
      </c>
    </row>
    <row r="3703" spans="3:3">
      <c r="C3703" t="s">
        <v>78</v>
      </c>
    </row>
    <row r="3704" spans="3:3">
      <c r="C3704" t="s">
        <v>10</v>
      </c>
    </row>
    <row r="3705" spans="3:3">
      <c r="C3705" t="s">
        <v>2925</v>
      </c>
    </row>
    <row r="3706" spans="3:3">
      <c r="C3706" t="s">
        <v>2926</v>
      </c>
    </row>
    <row r="3707" spans="3:3">
      <c r="C3707" t="s">
        <v>2927</v>
      </c>
    </row>
    <row r="3708" spans="3:3">
      <c r="C3708" t="s">
        <v>2928</v>
      </c>
    </row>
    <row r="3709" spans="3:3">
      <c r="C3709" t="s">
        <v>2929</v>
      </c>
    </row>
    <row r="3710" spans="3:3">
      <c r="C3710" t="s">
        <v>2930</v>
      </c>
    </row>
    <row r="3711" spans="3:3">
      <c r="C3711" t="s">
        <v>3609</v>
      </c>
    </row>
    <row r="3712" spans="3:3">
      <c r="C3712" t="s">
        <v>1720</v>
      </c>
    </row>
    <row r="3713" spans="3:3">
      <c r="C3713" t="s">
        <v>1721</v>
      </c>
    </row>
    <row r="3714" spans="3:3">
      <c r="C3714" t="s">
        <v>2931</v>
      </c>
    </row>
    <row r="3715" spans="3:3">
      <c r="C3715" t="s">
        <v>504</v>
      </c>
    </row>
    <row r="3716" spans="3:3">
      <c r="C3716" t="s">
        <v>505</v>
      </c>
    </row>
    <row r="3717" spans="3:3">
      <c r="C3717" t="s">
        <v>393</v>
      </c>
    </row>
    <row r="3718" spans="3:3">
      <c r="C3718" t="s">
        <v>47</v>
      </c>
    </row>
    <row r="3719" spans="3:3">
      <c r="C3719" t="s">
        <v>48</v>
      </c>
    </row>
    <row r="3720" spans="3:3">
      <c r="C3720" t="s">
        <v>79</v>
      </c>
    </row>
    <row r="3721" spans="3:3">
      <c r="C3721" t="s">
        <v>1343</v>
      </c>
    </row>
    <row r="3722" spans="3:3">
      <c r="C3722" t="s">
        <v>2932</v>
      </c>
    </row>
    <row r="3723" spans="3:3">
      <c r="C3723" t="s">
        <v>2933</v>
      </c>
    </row>
    <row r="3724" spans="3:3">
      <c r="C3724" t="s">
        <v>1342</v>
      </c>
    </row>
    <row r="3725" spans="3:3">
      <c r="C3725" t="s">
        <v>2934</v>
      </c>
    </row>
    <row r="3726" spans="3:3">
      <c r="C3726" t="s">
        <v>2935</v>
      </c>
    </row>
    <row r="3727" spans="3:3">
      <c r="C3727" t="s">
        <v>813</v>
      </c>
    </row>
    <row r="3728" spans="3:3">
      <c r="C3728" t="s">
        <v>814</v>
      </c>
    </row>
    <row r="3729" spans="3:3">
      <c r="C3729" t="s">
        <v>319</v>
      </c>
    </row>
    <row r="3730" spans="3:3">
      <c r="C3730" t="s">
        <v>320</v>
      </c>
    </row>
    <row r="3731" spans="3:3">
      <c r="C3731">
        <v>68</v>
      </c>
    </row>
    <row r="3732" spans="3:3">
      <c r="C3732" t="s">
        <v>829</v>
      </c>
    </row>
    <row r="3733" spans="3:3">
      <c r="C3733" t="s">
        <v>2936</v>
      </c>
    </row>
    <row r="3734" spans="3:3">
      <c r="C3734" t="s">
        <v>1344</v>
      </c>
    </row>
    <row r="3735" spans="3:3">
      <c r="C3735" t="s">
        <v>506</v>
      </c>
    </row>
    <row r="3736" spans="3:3">
      <c r="C3736" t="s">
        <v>1345</v>
      </c>
    </row>
    <row r="3737" spans="3:3">
      <c r="C3737" t="s">
        <v>415</v>
      </c>
    </row>
    <row r="3738" spans="3:3">
      <c r="C3738" t="s">
        <v>507</v>
      </c>
    </row>
    <row r="3739" spans="3:3">
      <c r="C3739" t="s">
        <v>1346</v>
      </c>
    </row>
    <row r="3740" spans="3:3">
      <c r="C3740" t="s">
        <v>1347</v>
      </c>
    </row>
    <row r="3741" spans="3:3">
      <c r="C3741" t="s">
        <v>1348</v>
      </c>
    </row>
    <row r="3742" spans="3:3">
      <c r="C3742" t="s">
        <v>756</v>
      </c>
    </row>
    <row r="3743" spans="3:3">
      <c r="C3743" t="s">
        <v>1349</v>
      </c>
    </row>
    <row r="3744" spans="3:3">
      <c r="C3744" t="s">
        <v>1350</v>
      </c>
    </row>
    <row r="3745" spans="3:3">
      <c r="C3745" t="s">
        <v>506</v>
      </c>
    </row>
    <row r="3746" spans="3:3">
      <c r="C3746" t="s">
        <v>2937</v>
      </c>
    </row>
    <row r="3747" spans="3:3">
      <c r="C3747" t="s">
        <v>508</v>
      </c>
    </row>
    <row r="3748" spans="3:3">
      <c r="C3748" t="s">
        <v>2938</v>
      </c>
    </row>
    <row r="3749" spans="3:3">
      <c r="C3749" t="s">
        <v>1351</v>
      </c>
    </row>
    <row r="3750" spans="3:3">
      <c r="C3750" t="s">
        <v>2939</v>
      </c>
    </row>
    <row r="3751" spans="3:3">
      <c r="C3751" t="s">
        <v>509</v>
      </c>
    </row>
    <row r="3752" spans="3:3">
      <c r="C3752" t="s">
        <v>2940</v>
      </c>
    </row>
    <row r="3753" spans="3:3">
      <c r="C3753" t="s">
        <v>510</v>
      </c>
    </row>
    <row r="3754" spans="3:3">
      <c r="C3754" t="s">
        <v>2941</v>
      </c>
    </row>
    <row r="3755" spans="3:3">
      <c r="C3755" t="s">
        <v>511</v>
      </c>
    </row>
    <row r="3756" spans="3:3">
      <c r="C3756" t="s">
        <v>2942</v>
      </c>
    </row>
    <row r="3757" spans="3:3">
      <c r="C3757" t="s">
        <v>512</v>
      </c>
    </row>
    <row r="3758" spans="3:3">
      <c r="C3758" t="s">
        <v>2943</v>
      </c>
    </row>
    <row r="3759" spans="3:3">
      <c r="C3759" t="s">
        <v>1352</v>
      </c>
    </row>
    <row r="3760" spans="3:3">
      <c r="C3760" t="s">
        <v>2944</v>
      </c>
    </row>
    <row r="3761" spans="3:3">
      <c r="C3761" t="s">
        <v>513</v>
      </c>
    </row>
    <row r="3762" spans="3:3">
      <c r="C3762" t="s">
        <v>2945</v>
      </c>
    </row>
    <row r="3763" spans="3:3">
      <c r="C3763" t="s">
        <v>1353</v>
      </c>
    </row>
    <row r="3764" spans="3:3">
      <c r="C3764" t="s">
        <v>2946</v>
      </c>
    </row>
    <row r="3765" spans="3:3">
      <c r="C3765" t="s">
        <v>813</v>
      </c>
    </row>
    <row r="3766" spans="3:3">
      <c r="C3766" t="s">
        <v>814</v>
      </c>
    </row>
    <row r="3767" spans="3:3">
      <c r="C3767" t="s">
        <v>319</v>
      </c>
    </row>
    <row r="3768" spans="3:3">
      <c r="C3768" t="s">
        <v>320</v>
      </c>
    </row>
    <row r="3769" spans="3:3">
      <c r="C3769">
        <v>69</v>
      </c>
    </row>
    <row r="3770" spans="3:3">
      <c r="C3770" t="s">
        <v>829</v>
      </c>
    </row>
    <row r="3771" spans="3:3">
      <c r="C3771" t="s">
        <v>514</v>
      </c>
    </row>
    <row r="3772" spans="3:3">
      <c r="C3772" t="s">
        <v>1355</v>
      </c>
    </row>
    <row r="3773" spans="3:3">
      <c r="C3773" t="s">
        <v>1356</v>
      </c>
    </row>
    <row r="3774" spans="3:3">
      <c r="C3774" t="s">
        <v>78</v>
      </c>
    </row>
    <row r="3775" spans="3:3">
      <c r="C3775" t="s">
        <v>10</v>
      </c>
    </row>
    <row r="3776" spans="3:3">
      <c r="C3776" t="s">
        <v>2947</v>
      </c>
    </row>
    <row r="3777" spans="3:3">
      <c r="C3777" t="s">
        <v>2948</v>
      </c>
    </row>
    <row r="3778" spans="3:3">
      <c r="C3778" t="s">
        <v>2949</v>
      </c>
    </row>
    <row r="3779" spans="3:3">
      <c r="C3779" t="s">
        <v>2950</v>
      </c>
    </row>
    <row r="3780" spans="3:3">
      <c r="C3780" t="s">
        <v>2951</v>
      </c>
    </row>
    <row r="3781" spans="3:3">
      <c r="C3781" t="s">
        <v>2952</v>
      </c>
    </row>
    <row r="3782" spans="3:3">
      <c r="C3782" t="s">
        <v>2953</v>
      </c>
    </row>
    <row r="3783" spans="3:3">
      <c r="C3783" t="s">
        <v>2954</v>
      </c>
    </row>
    <row r="3784" spans="3:3">
      <c r="C3784" t="s">
        <v>2955</v>
      </c>
    </row>
    <row r="3785" spans="3:3">
      <c r="C3785" t="s">
        <v>2956</v>
      </c>
    </row>
    <row r="3786" spans="3:3">
      <c r="C3786" t="s">
        <v>515</v>
      </c>
    </row>
    <row r="3787" spans="3:3">
      <c r="C3787" t="s">
        <v>516</v>
      </c>
    </row>
    <row r="3788" spans="3:3">
      <c r="C3788" t="s">
        <v>78</v>
      </c>
    </row>
    <row r="3789" spans="3:3">
      <c r="C3789" t="s">
        <v>2957</v>
      </c>
    </row>
    <row r="3790" spans="3:3">
      <c r="C3790" t="s">
        <v>517</v>
      </c>
    </row>
    <row r="3791" spans="3:3">
      <c r="C3791" t="s">
        <v>518</v>
      </c>
    </row>
    <row r="3792" spans="3:3">
      <c r="C3792" t="s">
        <v>83</v>
      </c>
    </row>
    <row r="3793" spans="3:3">
      <c r="C3793" t="s">
        <v>2958</v>
      </c>
    </row>
    <row r="3794" spans="3:3">
      <c r="C3794" t="s">
        <v>156</v>
      </c>
    </row>
    <row r="3795" spans="3:3">
      <c r="C3795" t="s">
        <v>2959</v>
      </c>
    </row>
    <row r="3796" spans="3:3">
      <c r="C3796" t="s">
        <v>88</v>
      </c>
    </row>
    <row r="3797" spans="3:3">
      <c r="C3797" t="s">
        <v>2960</v>
      </c>
    </row>
    <row r="3798" spans="3:3">
      <c r="C3798" t="s">
        <v>49</v>
      </c>
    </row>
    <row r="3799" spans="3:3">
      <c r="C3799" t="s">
        <v>1155</v>
      </c>
    </row>
    <row r="3800" spans="3:3">
      <c r="C3800" t="s">
        <v>731</v>
      </c>
    </row>
    <row r="3801" spans="3:3">
      <c r="C3801" t="s">
        <v>2961</v>
      </c>
    </row>
    <row r="3802" spans="3:3">
      <c r="C3802" t="s">
        <v>2</v>
      </c>
    </row>
    <row r="3803" spans="3:3">
      <c r="C3803" t="s">
        <v>226</v>
      </c>
    </row>
    <row r="3804" spans="3:3">
      <c r="C3804" t="s">
        <v>226</v>
      </c>
    </row>
    <row r="3805" spans="3:3">
      <c r="C3805" t="s">
        <v>2962</v>
      </c>
    </row>
    <row r="3806" spans="3:3">
      <c r="C3806" t="s">
        <v>36</v>
      </c>
    </row>
    <row r="3807" spans="3:3">
      <c r="C3807" t="s">
        <v>2963</v>
      </c>
    </row>
    <row r="3808" spans="3:3">
      <c r="C3808" t="s">
        <v>2964</v>
      </c>
    </row>
    <row r="3809" spans="3:3">
      <c r="C3809" t="s">
        <v>2965</v>
      </c>
    </row>
    <row r="3810" spans="3:3">
      <c r="C3810" t="s">
        <v>2</v>
      </c>
    </row>
    <row r="3811" spans="3:3">
      <c r="C3811" t="s">
        <v>181</v>
      </c>
    </row>
    <row r="3812" spans="3:3">
      <c r="C3812" t="s">
        <v>181</v>
      </c>
    </row>
    <row r="3813" spans="3:3">
      <c r="C3813" t="s">
        <v>2966</v>
      </c>
    </row>
    <row r="3814" spans="3:3">
      <c r="C3814" t="s">
        <v>156</v>
      </c>
    </row>
    <row r="3815" spans="3:3">
      <c r="C3815" t="s">
        <v>2053</v>
      </c>
    </row>
    <row r="3816" spans="3:3">
      <c r="C3816" t="s">
        <v>2967</v>
      </c>
    </row>
    <row r="3817" spans="3:3">
      <c r="C3817" t="s">
        <v>2968</v>
      </c>
    </row>
    <row r="3818" spans="3:3">
      <c r="C3818" t="s">
        <v>519</v>
      </c>
    </row>
    <row r="3819" spans="3:3">
      <c r="C3819" t="s">
        <v>2969</v>
      </c>
    </row>
    <row r="3820" spans="3:3">
      <c r="C3820" t="s">
        <v>520</v>
      </c>
    </row>
    <row r="3821" spans="3:3">
      <c r="C3821" t="s">
        <v>2970</v>
      </c>
    </row>
    <row r="3822" spans="3:3">
      <c r="C3822" t="s">
        <v>182</v>
      </c>
    </row>
    <row r="3823" spans="3:3">
      <c r="C3823" t="s">
        <v>2971</v>
      </c>
    </row>
    <row r="3824" spans="3:3">
      <c r="C3824" t="s">
        <v>2972</v>
      </c>
    </row>
    <row r="3825" spans="3:3">
      <c r="C3825" t="s">
        <v>2973</v>
      </c>
    </row>
    <row r="3826" spans="3:3">
      <c r="C3826" t="s">
        <v>2974</v>
      </c>
    </row>
    <row r="3827" spans="3:3">
      <c r="C3827" t="s">
        <v>2975</v>
      </c>
    </row>
    <row r="3828" spans="3:3">
      <c r="C3828" t="s">
        <v>2976</v>
      </c>
    </row>
    <row r="3829" spans="3:3">
      <c r="C3829" t="s">
        <v>80</v>
      </c>
    </row>
    <row r="3830" spans="3:3">
      <c r="C3830" t="s">
        <v>2977</v>
      </c>
    </row>
    <row r="3831" spans="3:3">
      <c r="C3831" t="s">
        <v>2978</v>
      </c>
    </row>
    <row r="3832" spans="3:3">
      <c r="C3832" t="s">
        <v>2978</v>
      </c>
    </row>
    <row r="3833" spans="3:3">
      <c r="C3833" t="s">
        <v>2978</v>
      </c>
    </row>
    <row r="3834" spans="3:3">
      <c r="C3834" t="s">
        <v>2979</v>
      </c>
    </row>
    <row r="3835" spans="3:3">
      <c r="C3835" t="s">
        <v>2980</v>
      </c>
    </row>
    <row r="3836" spans="3:3">
      <c r="C3836" t="s">
        <v>813</v>
      </c>
    </row>
    <row r="3837" spans="3:3">
      <c r="C3837" t="s">
        <v>814</v>
      </c>
    </row>
    <row r="3838" spans="3:3">
      <c r="C3838" t="s">
        <v>319</v>
      </c>
    </row>
    <row r="3839" spans="3:3">
      <c r="C3839" t="s">
        <v>320</v>
      </c>
    </row>
    <row r="3840" spans="3:3">
      <c r="C3840">
        <v>70</v>
      </c>
    </row>
    <row r="3841" spans="3:3">
      <c r="C3841" t="s">
        <v>829</v>
      </c>
    </row>
    <row r="3842" spans="3:3">
      <c r="C3842" t="s">
        <v>182</v>
      </c>
    </row>
    <row r="3843" spans="3:3">
      <c r="C3843" t="s">
        <v>2971</v>
      </c>
    </row>
    <row r="3844" spans="3:3">
      <c r="C3844" t="s">
        <v>2972</v>
      </c>
    </row>
    <row r="3845" spans="3:3">
      <c r="C3845" t="s">
        <v>2973</v>
      </c>
    </row>
    <row r="3846" spans="3:3">
      <c r="C3846" t="s">
        <v>2974</v>
      </c>
    </row>
    <row r="3847" spans="3:3">
      <c r="C3847" t="s">
        <v>2975</v>
      </c>
    </row>
    <row r="3848" spans="3:3">
      <c r="C3848" t="s">
        <v>2976</v>
      </c>
    </row>
    <row r="3849" spans="3:3">
      <c r="C3849" t="s">
        <v>80</v>
      </c>
    </row>
    <row r="3850" spans="3:3">
      <c r="C3850" t="s">
        <v>2977</v>
      </c>
    </row>
    <row r="3851" spans="3:3">
      <c r="C3851" t="s">
        <v>2978</v>
      </c>
    </row>
    <row r="3852" spans="3:3">
      <c r="C3852" t="s">
        <v>2978</v>
      </c>
    </row>
    <row r="3853" spans="3:3">
      <c r="C3853" t="s">
        <v>2978</v>
      </c>
    </row>
    <row r="3854" spans="3:3">
      <c r="C3854" t="s">
        <v>2979</v>
      </c>
    </row>
    <row r="3855" spans="3:3">
      <c r="C3855" t="s">
        <v>2981</v>
      </c>
    </row>
    <row r="3856" spans="3:3">
      <c r="C3856" t="s">
        <v>2982</v>
      </c>
    </row>
    <row r="3857" spans="3:3">
      <c r="C3857" t="s">
        <v>182</v>
      </c>
    </row>
    <row r="3858" spans="3:3">
      <c r="C3858" t="s">
        <v>2971</v>
      </c>
    </row>
    <row r="3859" spans="3:3">
      <c r="C3859" t="s">
        <v>2972</v>
      </c>
    </row>
    <row r="3860" spans="3:3">
      <c r="C3860" t="s">
        <v>2973</v>
      </c>
    </row>
    <row r="3861" spans="3:3">
      <c r="C3861" t="s">
        <v>2974</v>
      </c>
    </row>
    <row r="3862" spans="3:3">
      <c r="C3862" t="s">
        <v>2975</v>
      </c>
    </row>
    <row r="3863" spans="3:3">
      <c r="C3863" t="s">
        <v>2976</v>
      </c>
    </row>
    <row r="3864" spans="3:3">
      <c r="C3864" t="s">
        <v>80</v>
      </c>
    </row>
    <row r="3865" spans="3:3">
      <c r="C3865" t="s">
        <v>2983</v>
      </c>
    </row>
    <row r="3866" spans="3:3">
      <c r="C3866" t="s">
        <v>2979</v>
      </c>
    </row>
    <row r="3867" spans="3:3">
      <c r="C3867" t="s">
        <v>522</v>
      </c>
    </row>
    <row r="3868" spans="3:3">
      <c r="C3868" t="s">
        <v>2984</v>
      </c>
    </row>
    <row r="3869" spans="3:3">
      <c r="C3869" t="s">
        <v>2985</v>
      </c>
    </row>
    <row r="3870" spans="3:3">
      <c r="C3870" t="s">
        <v>2986</v>
      </c>
    </row>
    <row r="3871" spans="3:3">
      <c r="C3871" t="s">
        <v>2987</v>
      </c>
    </row>
    <row r="3872" spans="3:3">
      <c r="C3872" t="s">
        <v>2988</v>
      </c>
    </row>
    <row r="3873" spans="3:3">
      <c r="C3873" t="s">
        <v>2989</v>
      </c>
    </row>
    <row r="3874" spans="3:3">
      <c r="C3874" t="s">
        <v>2990</v>
      </c>
    </row>
    <row r="3875" spans="3:3">
      <c r="C3875" t="s">
        <v>2991</v>
      </c>
    </row>
    <row r="3876" spans="3:3">
      <c r="C3876" t="s">
        <v>523</v>
      </c>
    </row>
    <row r="3877" spans="3:3">
      <c r="C3877" t="s">
        <v>523</v>
      </c>
    </row>
    <row r="3878" spans="3:3">
      <c r="C3878" t="s">
        <v>2992</v>
      </c>
    </row>
    <row r="3879" spans="3:3">
      <c r="C3879" t="s">
        <v>2993</v>
      </c>
    </row>
    <row r="3880" spans="3:3">
      <c r="C3880" t="s">
        <v>524</v>
      </c>
    </row>
    <row r="3881" spans="3:3">
      <c r="C3881" t="s">
        <v>524</v>
      </c>
    </row>
    <row r="3882" spans="3:3">
      <c r="C3882" t="s">
        <v>2994</v>
      </c>
    </row>
    <row r="3883" spans="3:3">
      <c r="C3883" t="s">
        <v>2995</v>
      </c>
    </row>
    <row r="3884" spans="3:3">
      <c r="C3884" t="s">
        <v>2996</v>
      </c>
    </row>
    <row r="3885" spans="3:3">
      <c r="C3885" t="s">
        <v>2997</v>
      </c>
    </row>
    <row r="3886" spans="3:3">
      <c r="C3886" t="s">
        <v>521</v>
      </c>
    </row>
    <row r="3887" spans="3:3">
      <c r="C3887" t="s">
        <v>525</v>
      </c>
    </row>
    <row r="3888" spans="3:3">
      <c r="C3888" t="s">
        <v>78</v>
      </c>
    </row>
    <row r="3889" spans="3:3">
      <c r="C3889" t="s">
        <v>10</v>
      </c>
    </row>
    <row r="3890" spans="3:3">
      <c r="C3890" t="s">
        <v>522</v>
      </c>
    </row>
    <row r="3891" spans="3:3">
      <c r="C3891" t="s">
        <v>2998</v>
      </c>
    </row>
    <row r="3892" spans="3:3">
      <c r="C3892" t="s">
        <v>1357</v>
      </c>
    </row>
    <row r="3893" spans="3:3">
      <c r="C3893" t="s">
        <v>2999</v>
      </c>
    </row>
    <row r="3894" spans="3:3">
      <c r="C3894" t="s">
        <v>813</v>
      </c>
    </row>
    <row r="3895" spans="3:3">
      <c r="C3895" t="s">
        <v>814</v>
      </c>
    </row>
    <row r="3896" spans="3:3">
      <c r="C3896" t="s">
        <v>319</v>
      </c>
    </row>
    <row r="3897" spans="3:3">
      <c r="C3897" t="s">
        <v>320</v>
      </c>
    </row>
    <row r="3898" spans="3:3">
      <c r="C3898">
        <v>71</v>
      </c>
    </row>
    <row r="3899" spans="3:3">
      <c r="C3899" t="s">
        <v>829</v>
      </c>
    </row>
    <row r="3900" spans="3:3">
      <c r="C3900" t="s">
        <v>78</v>
      </c>
    </row>
    <row r="3901" spans="3:3">
      <c r="C3901" t="s">
        <v>10</v>
      </c>
    </row>
    <row r="3902" spans="3:3">
      <c r="C3902" t="s">
        <v>3000</v>
      </c>
    </row>
    <row r="3903" spans="3:3">
      <c r="C3903" t="s">
        <v>1358</v>
      </c>
    </row>
    <row r="3904" spans="3:3">
      <c r="C3904" t="s">
        <v>3001</v>
      </c>
    </row>
    <row r="3905" spans="3:3">
      <c r="C3905" t="s">
        <v>523</v>
      </c>
    </row>
    <row r="3906" spans="3:3">
      <c r="C3906" t="s">
        <v>3002</v>
      </c>
    </row>
    <row r="3907" spans="3:3">
      <c r="C3907" t="s">
        <v>3003</v>
      </c>
    </row>
    <row r="3908" spans="3:3">
      <c r="C3908" t="s">
        <v>3004</v>
      </c>
    </row>
    <row r="3909" spans="3:3">
      <c r="C3909" t="s">
        <v>760</v>
      </c>
    </row>
    <row r="3910" spans="3:3">
      <c r="C3910" t="s">
        <v>3005</v>
      </c>
    </row>
    <row r="3911" spans="3:3">
      <c r="C3911" t="s">
        <v>3006</v>
      </c>
    </row>
    <row r="3912" spans="3:3">
      <c r="C3912" t="s">
        <v>1359</v>
      </c>
    </row>
    <row r="3913" spans="3:3">
      <c r="C3913" t="s">
        <v>526</v>
      </c>
    </row>
    <row r="3914" spans="3:3">
      <c r="C3914" t="s">
        <v>1360</v>
      </c>
    </row>
    <row r="3915" spans="3:3">
      <c r="C3915" t="s">
        <v>1361</v>
      </c>
    </row>
    <row r="3916" spans="3:3">
      <c r="C3916" t="s">
        <v>1362</v>
      </c>
    </row>
    <row r="3917" spans="3:3">
      <c r="C3917" t="s">
        <v>415</v>
      </c>
    </row>
    <row r="3918" spans="3:3">
      <c r="C3918" t="s">
        <v>527</v>
      </c>
    </row>
    <row r="3919" spans="3:3">
      <c r="C3919" t="s">
        <v>1363</v>
      </c>
    </row>
    <row r="3920" spans="3:3">
      <c r="C3920" t="s">
        <v>528</v>
      </c>
    </row>
    <row r="3921" spans="3:3">
      <c r="C3921" t="s">
        <v>526</v>
      </c>
    </row>
    <row r="3922" spans="3:3">
      <c r="C3922" t="s">
        <v>1704</v>
      </c>
    </row>
    <row r="3923" spans="3:3">
      <c r="C3923" t="s">
        <v>10</v>
      </c>
    </row>
    <row r="3924" spans="3:3">
      <c r="C3924" t="s">
        <v>529</v>
      </c>
    </row>
    <row r="3925" spans="3:3">
      <c r="C3925" t="s">
        <v>3007</v>
      </c>
    </row>
    <row r="3926" spans="3:3">
      <c r="C3926" t="s">
        <v>499</v>
      </c>
    </row>
    <row r="3927" spans="3:3">
      <c r="C3927" t="s">
        <v>3008</v>
      </c>
    </row>
    <row r="3928" spans="3:3">
      <c r="C3928" t="s">
        <v>3009</v>
      </c>
    </row>
    <row r="3929" spans="3:3">
      <c r="C3929" t="s">
        <v>3010</v>
      </c>
    </row>
    <row r="3930" spans="3:3">
      <c r="C3930" t="s">
        <v>3011</v>
      </c>
    </row>
    <row r="3931" spans="3:3">
      <c r="C3931" t="s">
        <v>3012</v>
      </c>
    </row>
    <row r="3932" spans="3:3">
      <c r="C3932" t="s">
        <v>3013</v>
      </c>
    </row>
    <row r="3933" spans="3:3">
      <c r="C3933" t="s">
        <v>188</v>
      </c>
    </row>
    <row r="3934" spans="3:3">
      <c r="C3934" t="s">
        <v>3014</v>
      </c>
    </row>
    <row r="3935" spans="3:3">
      <c r="C3935" t="s">
        <v>3015</v>
      </c>
    </row>
    <row r="3936" spans="3:3">
      <c r="C3936" t="s">
        <v>530</v>
      </c>
    </row>
    <row r="3937" spans="3:3">
      <c r="C3937" t="s">
        <v>3016</v>
      </c>
    </row>
    <row r="3938" spans="3:3">
      <c r="C3938" t="s">
        <v>3017</v>
      </c>
    </row>
    <row r="3939" spans="3:3">
      <c r="C3939" t="s">
        <v>813</v>
      </c>
    </row>
    <row r="3940" spans="3:3">
      <c r="C3940" t="s">
        <v>814</v>
      </c>
    </row>
    <row r="3941" spans="3:3">
      <c r="C3941" t="s">
        <v>319</v>
      </c>
    </row>
    <row r="3942" spans="3:3">
      <c r="C3942" t="s">
        <v>320</v>
      </c>
    </row>
    <row r="3943" spans="3:3">
      <c r="C3943">
        <v>72</v>
      </c>
    </row>
    <row r="3944" spans="3:3">
      <c r="C3944" t="s">
        <v>829</v>
      </c>
    </row>
    <row r="3945" spans="3:3">
      <c r="C3945" t="s">
        <v>3018</v>
      </c>
    </row>
    <row r="3946" spans="3:3">
      <c r="C3946" t="s">
        <v>1364</v>
      </c>
    </row>
    <row r="3947" spans="3:3">
      <c r="C3947" t="s">
        <v>78</v>
      </c>
    </row>
    <row r="3948" spans="3:3">
      <c r="C3948" t="s">
        <v>10</v>
      </c>
    </row>
    <row r="3949" spans="3:3">
      <c r="C3949" t="s">
        <v>87</v>
      </c>
    </row>
    <row r="3950" spans="3:3">
      <c r="C3950" t="s">
        <v>529</v>
      </c>
    </row>
    <row r="3951" spans="3:3">
      <c r="C3951" t="s">
        <v>3019</v>
      </c>
    </row>
    <row r="3952" spans="3:3">
      <c r="C3952" t="s">
        <v>3020</v>
      </c>
    </row>
    <row r="3953" spans="3:3">
      <c r="C3953" t="s">
        <v>3021</v>
      </c>
    </row>
    <row r="3954" spans="3:3">
      <c r="C3954" t="s">
        <v>266</v>
      </c>
    </row>
    <row r="3955" spans="3:3">
      <c r="C3955" t="s">
        <v>3022</v>
      </c>
    </row>
    <row r="3956" spans="3:3">
      <c r="C3956" t="s">
        <v>3023</v>
      </c>
    </row>
    <row r="3957" spans="3:3">
      <c r="C3957" t="s">
        <v>3024</v>
      </c>
    </row>
    <row r="3958" spans="3:3">
      <c r="C3958" t="s">
        <v>89</v>
      </c>
    </row>
    <row r="3959" spans="3:3">
      <c r="C3959" t="s">
        <v>3025</v>
      </c>
    </row>
    <row r="3960" spans="3:3">
      <c r="C3960" t="s">
        <v>3026</v>
      </c>
    </row>
    <row r="3961" spans="3:3">
      <c r="C3961" t="s">
        <v>3027</v>
      </c>
    </row>
    <row r="3962" spans="3:3">
      <c r="C3962" t="s">
        <v>1365</v>
      </c>
    </row>
    <row r="3963" spans="3:3">
      <c r="C3963" t="s">
        <v>529</v>
      </c>
    </row>
    <row r="3964" spans="3:3">
      <c r="C3964" t="s">
        <v>3028</v>
      </c>
    </row>
    <row r="3965" spans="3:3">
      <c r="C3965" t="s">
        <v>83</v>
      </c>
    </row>
    <row r="3966" spans="3:3">
      <c r="C3966" t="s">
        <v>3028</v>
      </c>
    </row>
    <row r="3967" spans="3:3">
      <c r="C3967" t="s">
        <v>3029</v>
      </c>
    </row>
    <row r="3968" spans="3:3">
      <c r="C3968" t="s">
        <v>1366</v>
      </c>
    </row>
    <row r="3969" spans="3:3">
      <c r="C3969" t="s">
        <v>1367</v>
      </c>
    </row>
    <row r="3970" spans="3:3">
      <c r="C3970" t="s">
        <v>531</v>
      </c>
    </row>
    <row r="3971" spans="3:3">
      <c r="C3971" t="s">
        <v>1368</v>
      </c>
    </row>
    <row r="3972" spans="3:3">
      <c r="C3972" t="s">
        <v>1369</v>
      </c>
    </row>
    <row r="3973" spans="3:3">
      <c r="C3973" t="s">
        <v>532</v>
      </c>
    </row>
    <row r="3974" spans="3:3">
      <c r="C3974" t="s">
        <v>533</v>
      </c>
    </row>
    <row r="3975" spans="3:3">
      <c r="C3975" t="s">
        <v>1370</v>
      </c>
    </row>
    <row r="3976" spans="3:3">
      <c r="C3976" t="s">
        <v>189</v>
      </c>
    </row>
    <row r="3977" spans="3:3">
      <c r="C3977" t="s">
        <v>534</v>
      </c>
    </row>
    <row r="3978" spans="3:3">
      <c r="C3978" t="s">
        <v>190</v>
      </c>
    </row>
    <row r="3979" spans="3:3">
      <c r="C3979" t="s">
        <v>1371</v>
      </c>
    </row>
    <row r="3980" spans="3:3">
      <c r="C3980" t="s">
        <v>813</v>
      </c>
    </row>
    <row r="3981" spans="3:3">
      <c r="C3981" t="s">
        <v>814</v>
      </c>
    </row>
    <row r="3982" spans="3:3">
      <c r="C3982" t="s">
        <v>319</v>
      </c>
    </row>
    <row r="3983" spans="3:3">
      <c r="C3983" t="s">
        <v>320</v>
      </c>
    </row>
    <row r="3984" spans="3:3">
      <c r="C3984">
        <v>73</v>
      </c>
    </row>
    <row r="3985" spans="3:3">
      <c r="C3985" t="s">
        <v>829</v>
      </c>
    </row>
    <row r="3986" spans="3:3">
      <c r="C3986" t="s">
        <v>1372</v>
      </c>
    </row>
    <row r="3987" spans="3:3">
      <c r="C3987" t="s">
        <v>191</v>
      </c>
    </row>
    <row r="3988" spans="3:3">
      <c r="C3988" t="s">
        <v>535</v>
      </c>
    </row>
    <row r="3989" spans="3:3">
      <c r="C3989" t="s">
        <v>192</v>
      </c>
    </row>
    <row r="3990" spans="3:3">
      <c r="C3990" t="s">
        <v>80</v>
      </c>
    </row>
    <row r="3991" spans="3:3">
      <c r="C3991" t="s">
        <v>3030</v>
      </c>
    </row>
    <row r="3992" spans="3:3">
      <c r="C3992" t="s">
        <v>74</v>
      </c>
    </row>
    <row r="3993" spans="3:3">
      <c r="C3993" t="s">
        <v>193</v>
      </c>
    </row>
    <row r="3994" spans="3:3">
      <c r="C3994" t="s">
        <v>194</v>
      </c>
    </row>
    <row r="3995" spans="3:3">
      <c r="C3995" t="s">
        <v>18</v>
      </c>
    </row>
    <row r="3996" spans="3:3">
      <c r="C3996" t="s">
        <v>195</v>
      </c>
    </row>
    <row r="3997" spans="3:3">
      <c r="C3997" t="s">
        <v>74</v>
      </c>
    </row>
    <row r="3998" spans="3:3">
      <c r="C3998" t="s">
        <v>193</v>
      </c>
    </row>
    <row r="3999" spans="3:3">
      <c r="C3999" t="s">
        <v>194</v>
      </c>
    </row>
    <row r="4000" spans="3:3">
      <c r="C4000" t="s">
        <v>18</v>
      </c>
    </row>
    <row r="4001" spans="3:3">
      <c r="C4001" t="s">
        <v>3031</v>
      </c>
    </row>
    <row r="4002" spans="3:3">
      <c r="C4002" t="s">
        <v>3032</v>
      </c>
    </row>
    <row r="4003" spans="3:3">
      <c r="C4003" t="s">
        <v>176</v>
      </c>
    </row>
    <row r="4004" spans="3:3">
      <c r="C4004" t="s">
        <v>191</v>
      </c>
    </row>
    <row r="4005" spans="3:3">
      <c r="C4005" t="s">
        <v>196</v>
      </c>
    </row>
    <row r="4006" spans="3:3">
      <c r="C4006" t="s">
        <v>197</v>
      </c>
    </row>
    <row r="4007" spans="3:3">
      <c r="C4007" t="s">
        <v>198</v>
      </c>
    </row>
    <row r="4008" spans="3:3">
      <c r="C4008" t="s">
        <v>199</v>
      </c>
    </row>
    <row r="4009" spans="3:3">
      <c r="C4009" t="s">
        <v>200</v>
      </c>
    </row>
    <row r="4010" spans="3:3">
      <c r="C4010" t="s">
        <v>201</v>
      </c>
    </row>
    <row r="4011" spans="3:3">
      <c r="C4011" t="s">
        <v>202</v>
      </c>
    </row>
    <row r="4012" spans="3:3">
      <c r="C4012" t="s">
        <v>203</v>
      </c>
    </row>
    <row r="4013" spans="3:3">
      <c r="C4013" t="s">
        <v>83</v>
      </c>
    </row>
    <row r="4014" spans="3:3">
      <c r="C4014" t="s">
        <v>74</v>
      </c>
    </row>
    <row r="4015" spans="3:3">
      <c r="C4015" t="s">
        <v>536</v>
      </c>
    </row>
    <row r="4016" spans="3:3">
      <c r="C4016" t="s">
        <v>3033</v>
      </c>
    </row>
    <row r="4017" spans="3:3">
      <c r="C4017" t="s">
        <v>204</v>
      </c>
    </row>
    <row r="4018" spans="3:3">
      <c r="C4018" t="s">
        <v>537</v>
      </c>
    </row>
    <row r="4019" spans="3:3">
      <c r="C4019" t="s">
        <v>1373</v>
      </c>
    </row>
    <row r="4020" spans="3:3">
      <c r="C4020" t="s">
        <v>538</v>
      </c>
    </row>
    <row r="4021" spans="3:3">
      <c r="C4021" t="s">
        <v>539</v>
      </c>
    </row>
    <row r="4022" spans="3:3">
      <c r="C4022" t="s">
        <v>540</v>
      </c>
    </row>
    <row r="4023" spans="3:3">
      <c r="C4023" t="s">
        <v>205</v>
      </c>
    </row>
    <row r="4024" spans="3:3">
      <c r="C4024" t="s">
        <v>205</v>
      </c>
    </row>
    <row r="4025" spans="3:3">
      <c r="C4025" t="s">
        <v>206</v>
      </c>
    </row>
    <row r="4026" spans="3:3">
      <c r="C4026" t="s">
        <v>206</v>
      </c>
    </row>
    <row r="4027" spans="3:3">
      <c r="C4027" t="s">
        <v>207</v>
      </c>
    </row>
    <row r="4028" spans="3:3">
      <c r="C4028" t="s">
        <v>208</v>
      </c>
    </row>
    <row r="4029" spans="3:3">
      <c r="C4029" t="s">
        <v>208</v>
      </c>
    </row>
    <row r="4030" spans="3:3">
      <c r="C4030" t="s">
        <v>209</v>
      </c>
    </row>
    <row r="4031" spans="3:3">
      <c r="C4031" t="s">
        <v>209</v>
      </c>
    </row>
    <row r="4032" spans="3:3">
      <c r="C4032" t="s">
        <v>83</v>
      </c>
    </row>
    <row r="4033" spans="3:3">
      <c r="C4033" t="s">
        <v>74</v>
      </c>
    </row>
    <row r="4034" spans="3:3">
      <c r="C4034" t="s">
        <v>74</v>
      </c>
    </row>
    <row r="4035" spans="3:3">
      <c r="C4035" t="s">
        <v>210</v>
      </c>
    </row>
    <row r="4036" spans="3:3">
      <c r="C4036" t="s">
        <v>210</v>
      </c>
    </row>
    <row r="4037" spans="3:3">
      <c r="C4037" t="s">
        <v>3034</v>
      </c>
    </row>
    <row r="4038" spans="3:3">
      <c r="C4038" t="s">
        <v>3035</v>
      </c>
    </row>
    <row r="4039" spans="3:3">
      <c r="C4039" t="s">
        <v>1374</v>
      </c>
    </row>
    <row r="4040" spans="3:3">
      <c r="C4040" t="s">
        <v>3036</v>
      </c>
    </row>
    <row r="4041" spans="3:3">
      <c r="C4041" t="s">
        <v>1375</v>
      </c>
    </row>
    <row r="4042" spans="3:3">
      <c r="C4042" t="s">
        <v>813</v>
      </c>
    </row>
    <row r="4043" spans="3:3">
      <c r="C4043" t="s">
        <v>814</v>
      </c>
    </row>
    <row r="4044" spans="3:3">
      <c r="C4044" t="s">
        <v>319</v>
      </c>
    </row>
    <row r="4045" spans="3:3">
      <c r="C4045" t="s">
        <v>320</v>
      </c>
    </row>
    <row r="4046" spans="3:3">
      <c r="C4046">
        <v>74</v>
      </c>
    </row>
    <row r="4047" spans="3:3">
      <c r="C4047" t="s">
        <v>829</v>
      </c>
    </row>
    <row r="4048" spans="3:3">
      <c r="C4048" t="s">
        <v>1376</v>
      </c>
    </row>
    <row r="4049" spans="3:3">
      <c r="C4049" t="s">
        <v>1377</v>
      </c>
    </row>
    <row r="4050" spans="3:3">
      <c r="C4050" t="s">
        <v>3037</v>
      </c>
    </row>
    <row r="4051" spans="3:3">
      <c r="C4051" t="s">
        <v>3038</v>
      </c>
    </row>
    <row r="4052" spans="3:3">
      <c r="C4052" t="s">
        <v>1378</v>
      </c>
    </row>
    <row r="4053" spans="3:3">
      <c r="C4053" t="s">
        <v>3039</v>
      </c>
    </row>
    <row r="4054" spans="3:3">
      <c r="C4054" t="s">
        <v>3040</v>
      </c>
    </row>
    <row r="4055" spans="3:3">
      <c r="C4055" t="s">
        <v>3041</v>
      </c>
    </row>
    <row r="4056" spans="3:3">
      <c r="C4056" t="s">
        <v>3042</v>
      </c>
    </row>
    <row r="4057" spans="3:3">
      <c r="C4057" t="s">
        <v>3043</v>
      </c>
    </row>
    <row r="4058" spans="3:3">
      <c r="C4058" t="s">
        <v>3044</v>
      </c>
    </row>
    <row r="4059" spans="3:3">
      <c r="C4059" t="s">
        <v>3045</v>
      </c>
    </row>
    <row r="4060" spans="3:3">
      <c r="C4060" t="s">
        <v>1379</v>
      </c>
    </row>
    <row r="4061" spans="3:3">
      <c r="C4061">
        <v>2024</v>
      </c>
    </row>
    <row r="4062" spans="3:3">
      <c r="C4062">
        <v>2023</v>
      </c>
    </row>
    <row r="4063" spans="3:3">
      <c r="C4063" t="s">
        <v>52</v>
      </c>
    </row>
    <row r="4064" spans="3:3">
      <c r="C4064" t="s">
        <v>2</v>
      </c>
    </row>
    <row r="4065" spans="3:3">
      <c r="C4065" t="s">
        <v>2</v>
      </c>
    </row>
    <row r="4066" spans="3:3">
      <c r="C4066" t="s">
        <v>3046</v>
      </c>
    </row>
    <row r="4067" spans="3:3">
      <c r="C4067" t="s">
        <v>74</v>
      </c>
    </row>
    <row r="4068" spans="3:3">
      <c r="C4068" t="s">
        <v>74</v>
      </c>
    </row>
    <row r="4069" spans="3:3">
      <c r="C4069" t="s">
        <v>3047</v>
      </c>
    </row>
    <row r="4070" spans="3:3">
      <c r="C4070" t="s">
        <v>2</v>
      </c>
    </row>
    <row r="4071" spans="3:3">
      <c r="C4071" t="s">
        <v>2</v>
      </c>
    </row>
    <row r="4072" spans="3:3">
      <c r="C4072" t="s">
        <v>3048</v>
      </c>
    </row>
    <row r="4073" spans="3:3">
      <c r="C4073" t="s">
        <v>813</v>
      </c>
    </row>
    <row r="4074" spans="3:3">
      <c r="C4074" t="s">
        <v>814</v>
      </c>
    </row>
    <row r="4075" spans="3:3">
      <c r="C4075" t="s">
        <v>319</v>
      </c>
    </row>
    <row r="4076" spans="3:3">
      <c r="C4076" t="s">
        <v>320</v>
      </c>
    </row>
    <row r="4077" spans="3:3">
      <c r="C4077">
        <v>75</v>
      </c>
    </row>
    <row r="4078" spans="3:3">
      <c r="C4078" t="s">
        <v>829</v>
      </c>
    </row>
    <row r="4079" spans="3:3">
      <c r="C4079" t="s">
        <v>3049</v>
      </c>
    </row>
    <row r="4080" spans="3:3">
      <c r="C4080" t="s">
        <v>3050</v>
      </c>
    </row>
    <row r="4081" spans="3:3">
      <c r="C4081" t="s">
        <v>3051</v>
      </c>
    </row>
    <row r="4082" spans="3:3">
      <c r="C4082" t="s">
        <v>3052</v>
      </c>
    </row>
    <row r="4083" spans="3:3">
      <c r="C4083" t="s">
        <v>3053</v>
      </c>
    </row>
    <row r="4084" spans="3:3">
      <c r="C4084" t="s">
        <v>1380</v>
      </c>
    </row>
    <row r="4085" spans="3:3">
      <c r="C4085" t="s">
        <v>541</v>
      </c>
    </row>
    <row r="4086" spans="3:3">
      <c r="C4086" t="s">
        <v>1381</v>
      </c>
    </row>
    <row r="4087" spans="3:3">
      <c r="C4087" t="s">
        <v>1382</v>
      </c>
    </row>
    <row r="4088" spans="3:3">
      <c r="C4088" t="s">
        <v>761</v>
      </c>
    </row>
    <row r="4089" spans="3:3">
      <c r="C4089" t="s">
        <v>762</v>
      </c>
    </row>
    <row r="4090" spans="3:3">
      <c r="C4090" t="s">
        <v>1383</v>
      </c>
    </row>
    <row r="4091" spans="3:3">
      <c r="C4091" t="s">
        <v>1384</v>
      </c>
    </row>
    <row r="4092" spans="3:3">
      <c r="C4092" t="s">
        <v>1385</v>
      </c>
    </row>
    <row r="4093" spans="3:3">
      <c r="C4093" t="s">
        <v>1386</v>
      </c>
    </row>
    <row r="4094" spans="3:3">
      <c r="C4094" t="s">
        <v>763</v>
      </c>
    </row>
    <row r="4095" spans="3:3">
      <c r="C4095" t="s">
        <v>764</v>
      </c>
    </row>
    <row r="4096" spans="3:3">
      <c r="C4096" t="s">
        <v>765</v>
      </c>
    </row>
    <row r="4097" spans="3:3">
      <c r="C4097" t="s">
        <v>1387</v>
      </c>
    </row>
    <row r="4098" spans="3:3">
      <c r="C4098" t="s">
        <v>1388</v>
      </c>
    </row>
    <row r="4099" spans="3:3">
      <c r="C4099" t="s">
        <v>542</v>
      </c>
    </row>
    <row r="4100" spans="3:3">
      <c r="C4100" t="s">
        <v>415</v>
      </c>
    </row>
    <row r="4101" spans="3:3">
      <c r="C4101" t="s">
        <v>543</v>
      </c>
    </row>
    <row r="4102" spans="3:3">
      <c r="C4102" t="s">
        <v>544</v>
      </c>
    </row>
    <row r="4103" spans="3:3">
      <c r="C4103" t="s">
        <v>3054</v>
      </c>
    </row>
    <row r="4104" spans="3:3">
      <c r="C4104" t="s">
        <v>813</v>
      </c>
    </row>
    <row r="4105" spans="3:3">
      <c r="C4105" t="s">
        <v>814</v>
      </c>
    </row>
    <row r="4106" spans="3:3">
      <c r="C4106" t="s">
        <v>319</v>
      </c>
    </row>
    <row r="4107" spans="3:3">
      <c r="C4107" t="s">
        <v>320</v>
      </c>
    </row>
    <row r="4108" spans="3:3">
      <c r="C4108">
        <v>76</v>
      </c>
    </row>
    <row r="4109" spans="3:3">
      <c r="C4109" t="s">
        <v>829</v>
      </c>
    </row>
    <row r="4110" spans="3:3">
      <c r="C4110" t="s">
        <v>541</v>
      </c>
    </row>
    <row r="4111" spans="3:3">
      <c r="C4111" t="s">
        <v>78</v>
      </c>
    </row>
    <row r="4112" spans="3:3">
      <c r="C4112" t="s">
        <v>10</v>
      </c>
    </row>
    <row r="4113" spans="3:3">
      <c r="C4113" t="s">
        <v>1389</v>
      </c>
    </row>
    <row r="4114" spans="3:3">
      <c r="C4114" t="s">
        <v>3055</v>
      </c>
    </row>
    <row r="4115" spans="3:3">
      <c r="C4115" t="s">
        <v>3056</v>
      </c>
    </row>
    <row r="4116" spans="3:3">
      <c r="C4116" t="s">
        <v>3057</v>
      </c>
    </row>
    <row r="4117" spans="3:3">
      <c r="C4117" t="s">
        <v>3058</v>
      </c>
    </row>
    <row r="4118" spans="3:3">
      <c r="C4118" t="s">
        <v>3059</v>
      </c>
    </row>
    <row r="4119" spans="3:3">
      <c r="C4119" t="s">
        <v>3060</v>
      </c>
    </row>
    <row r="4120" spans="3:3">
      <c r="C4120" t="s">
        <v>3061</v>
      </c>
    </row>
    <row r="4121" spans="3:3">
      <c r="C4121" t="s">
        <v>3062</v>
      </c>
    </row>
    <row r="4122" spans="3:3">
      <c r="C4122" t="s">
        <v>3063</v>
      </c>
    </row>
    <row r="4123" spans="3:3">
      <c r="C4123" t="s">
        <v>3064</v>
      </c>
    </row>
    <row r="4124" spans="3:3">
      <c r="C4124" t="s">
        <v>3065</v>
      </c>
    </row>
    <row r="4125" spans="3:3">
      <c r="C4125" t="s">
        <v>3066</v>
      </c>
    </row>
    <row r="4126" spans="3:3">
      <c r="C4126" t="s">
        <v>83</v>
      </c>
    </row>
    <row r="4127" spans="3:3">
      <c r="C4127" t="s">
        <v>3067</v>
      </c>
    </row>
    <row r="4128" spans="3:3">
      <c r="C4128" t="s">
        <v>84</v>
      </c>
    </row>
    <row r="4129" spans="3:3">
      <c r="C4129" t="s">
        <v>3068</v>
      </c>
    </row>
    <row r="4130" spans="3:3">
      <c r="C4130" t="s">
        <v>3069</v>
      </c>
    </row>
    <row r="4131" spans="3:3">
      <c r="C4131" t="s">
        <v>3070</v>
      </c>
    </row>
    <row r="4132" spans="3:3">
      <c r="C4132" t="s">
        <v>3071</v>
      </c>
    </row>
    <row r="4133" spans="3:3">
      <c r="C4133" t="s">
        <v>3072</v>
      </c>
    </row>
    <row r="4134" spans="3:3">
      <c r="C4134" t="s">
        <v>545</v>
      </c>
    </row>
    <row r="4135" spans="3:3">
      <c r="C4135" t="s">
        <v>3073</v>
      </c>
    </row>
    <row r="4136" spans="3:3">
      <c r="C4136" t="s">
        <v>547</v>
      </c>
    </row>
    <row r="4137" spans="3:3">
      <c r="C4137" t="s">
        <v>813</v>
      </c>
    </row>
    <row r="4138" spans="3:3">
      <c r="C4138" t="s">
        <v>814</v>
      </c>
    </row>
    <row r="4139" spans="3:3">
      <c r="C4139" t="s">
        <v>319</v>
      </c>
    </row>
    <row r="4140" spans="3:3">
      <c r="C4140" t="s">
        <v>320</v>
      </c>
    </row>
    <row r="4141" spans="3:3">
      <c r="C4141">
        <v>77</v>
      </c>
    </row>
    <row r="4142" spans="3:3">
      <c r="C4142" t="s">
        <v>829</v>
      </c>
    </row>
    <row r="4143" spans="3:3">
      <c r="C4143" t="s">
        <v>1390</v>
      </c>
    </row>
    <row r="4144" spans="3:3">
      <c r="C4144" t="s">
        <v>393</v>
      </c>
    </row>
    <row r="4145" spans="3:3">
      <c r="C4145" t="s">
        <v>47</v>
      </c>
    </row>
    <row r="4146" spans="3:3">
      <c r="C4146" t="s">
        <v>48</v>
      </c>
    </row>
    <row r="4147" spans="3:3">
      <c r="C4147" t="s">
        <v>3074</v>
      </c>
    </row>
    <row r="4148" spans="3:3">
      <c r="C4148" t="s">
        <v>3055</v>
      </c>
    </row>
    <row r="4149" spans="3:3">
      <c r="C4149" t="s">
        <v>3075</v>
      </c>
    </row>
    <row r="4150" spans="3:3">
      <c r="C4150" t="s">
        <v>3057</v>
      </c>
    </row>
    <row r="4151" spans="3:3">
      <c r="C4151" t="s">
        <v>3076</v>
      </c>
    </row>
    <row r="4152" spans="3:3">
      <c r="C4152" t="s">
        <v>3059</v>
      </c>
    </row>
    <row r="4153" spans="3:3">
      <c r="C4153" t="s">
        <v>3077</v>
      </c>
    </row>
    <row r="4154" spans="3:3">
      <c r="C4154" t="s">
        <v>3061</v>
      </c>
    </row>
    <row r="4155" spans="3:3">
      <c r="C4155" t="s">
        <v>3078</v>
      </c>
    </row>
    <row r="4156" spans="3:3">
      <c r="C4156" t="s">
        <v>3063</v>
      </c>
    </row>
    <row r="4157" spans="3:3">
      <c r="C4157" t="s">
        <v>3079</v>
      </c>
    </row>
    <row r="4158" spans="3:3">
      <c r="C4158" t="s">
        <v>3065</v>
      </c>
    </row>
    <row r="4159" spans="3:3">
      <c r="C4159" t="s">
        <v>3080</v>
      </c>
    </row>
    <row r="4160" spans="3:3">
      <c r="C4160" t="s">
        <v>83</v>
      </c>
    </row>
    <row r="4161" spans="3:3">
      <c r="C4161" t="s">
        <v>3081</v>
      </c>
    </row>
    <row r="4162" spans="3:3">
      <c r="C4162" t="s">
        <v>393</v>
      </c>
    </row>
    <row r="4163" spans="3:3">
      <c r="C4163" t="s">
        <v>47</v>
      </c>
    </row>
    <row r="4164" spans="3:3">
      <c r="C4164" t="s">
        <v>48</v>
      </c>
    </row>
    <row r="4165" spans="3:3">
      <c r="C4165" t="s">
        <v>3082</v>
      </c>
    </row>
    <row r="4166" spans="3:3">
      <c r="C4166" t="s">
        <v>3055</v>
      </c>
    </row>
    <row r="4167" spans="3:3">
      <c r="C4167" t="s">
        <v>3083</v>
      </c>
    </row>
    <row r="4168" spans="3:3">
      <c r="C4168" t="s">
        <v>3059</v>
      </c>
    </row>
    <row r="4169" spans="3:3">
      <c r="C4169" t="s">
        <v>3084</v>
      </c>
    </row>
    <row r="4170" spans="3:3">
      <c r="C4170" t="s">
        <v>3061</v>
      </c>
    </row>
    <row r="4171" spans="3:3">
      <c r="C4171" t="s">
        <v>3085</v>
      </c>
    </row>
    <row r="4172" spans="3:3">
      <c r="C4172" t="s">
        <v>3063</v>
      </c>
    </row>
    <row r="4173" spans="3:3">
      <c r="C4173" t="s">
        <v>3086</v>
      </c>
    </row>
    <row r="4174" spans="3:3">
      <c r="C4174" t="s">
        <v>83</v>
      </c>
    </row>
    <row r="4175" spans="3:3">
      <c r="C4175" t="s">
        <v>3087</v>
      </c>
    </row>
    <row r="4176" spans="3:3">
      <c r="C4176" t="s">
        <v>1391</v>
      </c>
    </row>
    <row r="4177" spans="3:3">
      <c r="C4177" t="s">
        <v>393</v>
      </c>
    </row>
    <row r="4178" spans="3:3">
      <c r="C4178" t="s">
        <v>47</v>
      </c>
    </row>
    <row r="4179" spans="3:3">
      <c r="C4179" t="s">
        <v>48</v>
      </c>
    </row>
    <row r="4180" spans="3:3">
      <c r="C4180" t="s">
        <v>324</v>
      </c>
    </row>
    <row r="4181" spans="3:3">
      <c r="C4181" t="s">
        <v>3088</v>
      </c>
    </row>
    <row r="4182" spans="3:3">
      <c r="C4182" t="s">
        <v>325</v>
      </c>
    </row>
    <row r="4183" spans="3:3">
      <c r="C4183" t="s">
        <v>3089</v>
      </c>
    </row>
    <row r="4184" spans="3:3">
      <c r="C4184" t="s">
        <v>1</v>
      </c>
    </row>
    <row r="4185" spans="3:3">
      <c r="C4185" t="s">
        <v>3090</v>
      </c>
    </row>
    <row r="4186" spans="3:3">
      <c r="C4186" t="s">
        <v>4</v>
      </c>
    </row>
    <row r="4187" spans="3:3">
      <c r="C4187" t="s">
        <v>3091</v>
      </c>
    </row>
    <row r="4188" spans="3:3">
      <c r="C4188" t="s">
        <v>3081</v>
      </c>
    </row>
    <row r="4189" spans="3:3">
      <c r="C4189" t="s">
        <v>3092</v>
      </c>
    </row>
    <row r="4190" spans="3:3">
      <c r="C4190" t="s">
        <v>3087</v>
      </c>
    </row>
    <row r="4191" spans="3:3">
      <c r="C4191" t="s">
        <v>767</v>
      </c>
    </row>
    <row r="4192" spans="3:3">
      <c r="C4192" t="s">
        <v>3093</v>
      </c>
    </row>
    <row r="4193" spans="3:3">
      <c r="C4193" t="s">
        <v>548</v>
      </c>
    </row>
    <row r="4194" spans="3:3">
      <c r="C4194" t="s">
        <v>1392</v>
      </c>
    </row>
    <row r="4195" spans="3:3">
      <c r="C4195" t="s">
        <v>2876</v>
      </c>
    </row>
    <row r="4196" spans="3:3">
      <c r="C4196" t="s">
        <v>3094</v>
      </c>
    </row>
    <row r="4197" spans="3:3">
      <c r="C4197" t="s">
        <v>3095</v>
      </c>
    </row>
    <row r="4198" spans="3:3">
      <c r="C4198" t="s">
        <v>3096</v>
      </c>
    </row>
    <row r="4199" spans="3:3">
      <c r="C4199" t="s">
        <v>3097</v>
      </c>
    </row>
    <row r="4200" spans="3:3">
      <c r="C4200" t="s">
        <v>813</v>
      </c>
    </row>
    <row r="4201" spans="3:3">
      <c r="C4201" t="s">
        <v>814</v>
      </c>
    </row>
    <row r="4202" spans="3:3">
      <c r="C4202" t="s">
        <v>319</v>
      </c>
    </row>
    <row r="4203" spans="3:3">
      <c r="C4203" t="s">
        <v>320</v>
      </c>
    </row>
    <row r="4204" spans="3:3">
      <c r="C4204">
        <v>78</v>
      </c>
    </row>
    <row r="4205" spans="3:3">
      <c r="C4205" t="s">
        <v>829</v>
      </c>
    </row>
    <row r="4206" spans="3:3">
      <c r="C4206" t="s">
        <v>3098</v>
      </c>
    </row>
    <row r="4207" spans="3:3">
      <c r="C4207" t="s">
        <v>3099</v>
      </c>
    </row>
    <row r="4208" spans="3:3">
      <c r="C4208" t="s">
        <v>3100</v>
      </c>
    </row>
    <row r="4209" spans="3:3">
      <c r="C4209" t="s">
        <v>549</v>
      </c>
    </row>
    <row r="4210" spans="3:3">
      <c r="C4210" t="s">
        <v>3101</v>
      </c>
    </row>
    <row r="4211" spans="3:3">
      <c r="C4211" t="s">
        <v>3102</v>
      </c>
    </row>
    <row r="4212" spans="3:3">
      <c r="C4212" t="s">
        <v>3103</v>
      </c>
    </row>
    <row r="4213" spans="3:3">
      <c r="C4213" t="s">
        <v>3104</v>
      </c>
    </row>
    <row r="4214" spans="3:3">
      <c r="C4214" t="s">
        <v>3105</v>
      </c>
    </row>
    <row r="4215" spans="3:3">
      <c r="C4215" t="s">
        <v>3106</v>
      </c>
    </row>
    <row r="4216" spans="3:3">
      <c r="C4216" t="s">
        <v>3103</v>
      </c>
    </row>
    <row r="4217" spans="3:3">
      <c r="C4217" t="s">
        <v>3107</v>
      </c>
    </row>
    <row r="4218" spans="3:3">
      <c r="C4218" t="s">
        <v>3105</v>
      </c>
    </row>
    <row r="4219" spans="3:3">
      <c r="C4219" t="s">
        <v>1393</v>
      </c>
    </row>
    <row r="4220" spans="3:3">
      <c r="C4220" t="s">
        <v>813</v>
      </c>
    </row>
    <row r="4221" spans="3:3">
      <c r="C4221" t="s">
        <v>814</v>
      </c>
    </row>
    <row r="4222" spans="3:3">
      <c r="C4222" t="s">
        <v>319</v>
      </c>
    </row>
    <row r="4223" spans="3:3">
      <c r="C4223" t="s">
        <v>320</v>
      </c>
    </row>
    <row r="4224" spans="3:3">
      <c r="C4224">
        <v>79</v>
      </c>
    </row>
    <row r="4225" spans="3:3">
      <c r="C4225" t="s">
        <v>829</v>
      </c>
    </row>
    <row r="4226" spans="3:3">
      <c r="C4226" t="s">
        <v>550</v>
      </c>
    </row>
    <row r="4227" spans="3:3">
      <c r="C4227" t="s">
        <v>3108</v>
      </c>
    </row>
    <row r="4228" spans="3:3">
      <c r="C4228" t="s">
        <v>3109</v>
      </c>
    </row>
    <row r="4229" spans="3:3">
      <c r="C4229" t="s">
        <v>3110</v>
      </c>
    </row>
    <row r="4230" spans="3:3">
      <c r="C4230" t="s">
        <v>3105</v>
      </c>
    </row>
    <row r="4231" spans="3:3">
      <c r="C4231" t="s">
        <v>3111</v>
      </c>
    </row>
    <row r="4232" spans="3:3">
      <c r="C4232" t="s">
        <v>3109</v>
      </c>
    </row>
    <row r="4233" spans="3:3">
      <c r="C4233" t="s">
        <v>3112</v>
      </c>
    </row>
    <row r="4234" spans="3:3">
      <c r="C4234" t="s">
        <v>3105</v>
      </c>
    </row>
    <row r="4235" spans="3:3">
      <c r="C4235" t="s">
        <v>1394</v>
      </c>
    </row>
    <row r="4236" spans="3:3">
      <c r="C4236" t="s">
        <v>216</v>
      </c>
    </row>
    <row r="4237" spans="3:3">
      <c r="C4237" t="s">
        <v>1395</v>
      </c>
    </row>
    <row r="4238" spans="3:3">
      <c r="C4238" t="s">
        <v>772</v>
      </c>
    </row>
    <row r="4239" spans="3:3">
      <c r="C4239" t="s">
        <v>551</v>
      </c>
    </row>
    <row r="4240" spans="3:3">
      <c r="C4240" t="s">
        <v>1396</v>
      </c>
    </row>
    <row r="4241" spans="3:3">
      <c r="C4241" t="s">
        <v>1397</v>
      </c>
    </row>
    <row r="4242" spans="3:3">
      <c r="C4242" t="s">
        <v>1398</v>
      </c>
    </row>
    <row r="4243" spans="3:3">
      <c r="C4243" t="s">
        <v>773</v>
      </c>
    </row>
    <row r="4244" spans="3:3">
      <c r="C4244" t="s">
        <v>552</v>
      </c>
    </row>
    <row r="4245" spans="3:3">
      <c r="C4245" t="s">
        <v>774</v>
      </c>
    </row>
    <row r="4246" spans="3:3">
      <c r="C4246" t="s">
        <v>1399</v>
      </c>
    </row>
    <row r="4247" spans="3:3">
      <c r="C4247" t="s">
        <v>813</v>
      </c>
    </row>
    <row r="4248" spans="3:3">
      <c r="C4248" t="s">
        <v>814</v>
      </c>
    </row>
    <row r="4249" spans="3:3">
      <c r="C4249" t="s">
        <v>319</v>
      </c>
    </row>
    <row r="4250" spans="3:3">
      <c r="C4250" t="s">
        <v>320</v>
      </c>
    </row>
    <row r="4251" spans="3:3">
      <c r="C4251">
        <v>80</v>
      </c>
    </row>
    <row r="4252" spans="3:3">
      <c r="C4252" t="s">
        <v>829</v>
      </c>
    </row>
    <row r="4253" spans="3:3">
      <c r="C4253" t="s">
        <v>458</v>
      </c>
    </row>
    <row r="4254" spans="3:3">
      <c r="C4254" t="s">
        <v>1400</v>
      </c>
    </row>
    <row r="4255" spans="3:3">
      <c r="C4255" t="s">
        <v>775</v>
      </c>
    </row>
    <row r="4256" spans="3:3">
      <c r="C4256" t="s">
        <v>1401</v>
      </c>
    </row>
    <row r="4257" spans="3:3">
      <c r="C4257" t="s">
        <v>776</v>
      </c>
    </row>
    <row r="4258" spans="3:3">
      <c r="C4258" t="s">
        <v>1402</v>
      </c>
    </row>
    <row r="4259" spans="3:3">
      <c r="C4259" t="s">
        <v>777</v>
      </c>
    </row>
    <row r="4260" spans="3:3">
      <c r="C4260" t="s">
        <v>415</v>
      </c>
    </row>
    <row r="4261" spans="3:3">
      <c r="C4261" t="s">
        <v>553</v>
      </c>
    </row>
    <row r="4262" spans="3:3">
      <c r="C4262" t="s">
        <v>216</v>
      </c>
    </row>
    <row r="4263" spans="3:3">
      <c r="C4263" t="s">
        <v>3113</v>
      </c>
    </row>
    <row r="4264" spans="3:3">
      <c r="C4264" t="s">
        <v>813</v>
      </c>
    </row>
    <row r="4265" spans="3:3">
      <c r="C4265" t="s">
        <v>814</v>
      </c>
    </row>
    <row r="4266" spans="3:3">
      <c r="C4266" t="s">
        <v>319</v>
      </c>
    </row>
    <row r="4267" spans="3:3">
      <c r="C4267" t="s">
        <v>320</v>
      </c>
    </row>
    <row r="4268" spans="3:3">
      <c r="C4268">
        <v>81</v>
      </c>
    </row>
    <row r="4269" spans="3:3">
      <c r="C4269" t="s">
        <v>829</v>
      </c>
    </row>
    <row r="4270" spans="3:3">
      <c r="C4270" t="s">
        <v>3114</v>
      </c>
    </row>
    <row r="4271" spans="3:3">
      <c r="C4271" t="s">
        <v>1769</v>
      </c>
    </row>
    <row r="4272" spans="3:3">
      <c r="C4272" t="s">
        <v>424</v>
      </c>
    </row>
    <row r="4273" spans="3:3">
      <c r="C4273" t="s">
        <v>217</v>
      </c>
    </row>
    <row r="4274" spans="3:3">
      <c r="C4274" t="s">
        <v>218</v>
      </c>
    </row>
    <row r="4275" spans="3:3">
      <c r="C4275" t="s">
        <v>3115</v>
      </c>
    </row>
    <row r="4276" spans="3:3">
      <c r="C4276" t="s">
        <v>3116</v>
      </c>
    </row>
    <row r="4277" spans="3:3">
      <c r="C4277" t="s">
        <v>3117</v>
      </c>
    </row>
    <row r="4278" spans="3:3">
      <c r="C4278" t="s">
        <v>425</v>
      </c>
    </row>
    <row r="4279" spans="3:3">
      <c r="C4279" t="s">
        <v>219</v>
      </c>
    </row>
    <row r="4280" spans="3:3">
      <c r="C4280" t="s">
        <v>220</v>
      </c>
    </row>
    <row r="4281" spans="3:3">
      <c r="C4281" t="s">
        <v>794</v>
      </c>
    </row>
    <row r="4282" spans="3:3">
      <c r="C4282" t="s">
        <v>3118</v>
      </c>
    </row>
    <row r="4283" spans="3:3">
      <c r="C4283" t="s">
        <v>3119</v>
      </c>
    </row>
    <row r="4284" spans="3:3">
      <c r="C4284" t="s">
        <v>83</v>
      </c>
    </row>
    <row r="4285" spans="3:3">
      <c r="C4285" t="s">
        <v>222</v>
      </c>
    </row>
    <row r="4286" spans="3:3">
      <c r="C4286" t="s">
        <v>223</v>
      </c>
    </row>
    <row r="4287" spans="3:3">
      <c r="C4287" t="s">
        <v>3120</v>
      </c>
    </row>
    <row r="4288" spans="3:3">
      <c r="C4288" t="s">
        <v>719</v>
      </c>
    </row>
    <row r="4289" spans="3:3">
      <c r="C4289" t="s">
        <v>3121</v>
      </c>
    </row>
    <row r="4290" spans="3:3">
      <c r="C4290" t="s">
        <v>224</v>
      </c>
    </row>
    <row r="4291" spans="3:3">
      <c r="C4291" t="s">
        <v>2</v>
      </c>
    </row>
    <row r="4292" spans="3:3">
      <c r="C4292" t="s">
        <v>3122</v>
      </c>
    </row>
    <row r="4293" spans="3:3">
      <c r="C4293" t="s">
        <v>3123</v>
      </c>
    </row>
    <row r="4294" spans="3:3">
      <c r="C4294" t="s">
        <v>2166</v>
      </c>
    </row>
    <row r="4295" spans="3:3">
      <c r="C4295" t="s">
        <v>1072</v>
      </c>
    </row>
    <row r="4296" spans="3:3">
      <c r="C4296" t="s">
        <v>3124</v>
      </c>
    </row>
    <row r="4297" spans="3:3">
      <c r="C4297" t="s">
        <v>3125</v>
      </c>
    </row>
    <row r="4298" spans="3:3">
      <c r="C4298" t="s">
        <v>2</v>
      </c>
    </row>
    <row r="4299" spans="3:3">
      <c r="C4299" t="s">
        <v>1999</v>
      </c>
    </row>
    <row r="4300" spans="3:3">
      <c r="C4300" t="s">
        <v>2</v>
      </c>
    </row>
    <row r="4301" spans="3:3">
      <c r="C4301" t="s">
        <v>3126</v>
      </c>
    </row>
    <row r="4302" spans="3:3">
      <c r="C4302" t="s">
        <v>554</v>
      </c>
    </row>
    <row r="4303" spans="3:3">
      <c r="C4303" t="s">
        <v>2</v>
      </c>
    </row>
    <row r="4304" spans="3:3">
      <c r="C4304" t="s">
        <v>3127</v>
      </c>
    </row>
    <row r="4305" spans="3:3">
      <c r="C4305" t="s">
        <v>185</v>
      </c>
    </row>
    <row r="4306" spans="3:3">
      <c r="C4306" t="s">
        <v>2006</v>
      </c>
    </row>
    <row r="4307" spans="3:3">
      <c r="C4307" t="s">
        <v>3128</v>
      </c>
    </row>
    <row r="4308" spans="3:3">
      <c r="C4308" t="s">
        <v>3129</v>
      </c>
    </row>
    <row r="4309" spans="3:3">
      <c r="C4309" t="s">
        <v>3130</v>
      </c>
    </row>
    <row r="4310" spans="3:3">
      <c r="C4310" t="s">
        <v>2</v>
      </c>
    </row>
    <row r="4311" spans="3:3">
      <c r="C4311" t="s">
        <v>3131</v>
      </c>
    </row>
    <row r="4312" spans="3:3">
      <c r="C4312" t="s">
        <v>2</v>
      </c>
    </row>
    <row r="4313" spans="3:3">
      <c r="C4313" t="s">
        <v>3132</v>
      </c>
    </row>
    <row r="4314" spans="3:3">
      <c r="C4314" t="s">
        <v>225</v>
      </c>
    </row>
    <row r="4315" spans="3:3">
      <c r="C4315" t="s">
        <v>3133</v>
      </c>
    </row>
    <row r="4316" spans="3:3">
      <c r="C4316" t="s">
        <v>3134</v>
      </c>
    </row>
    <row r="4317" spans="3:3">
      <c r="C4317" t="s">
        <v>76</v>
      </c>
    </row>
    <row r="4318" spans="3:3">
      <c r="C4318" t="s">
        <v>3135</v>
      </c>
    </row>
    <row r="4319" spans="3:3">
      <c r="C4319" t="s">
        <v>3136</v>
      </c>
    </row>
    <row r="4320" spans="3:3">
      <c r="C4320" t="s">
        <v>26</v>
      </c>
    </row>
    <row r="4321" spans="3:3">
      <c r="C4321" t="s">
        <v>424</v>
      </c>
    </row>
    <row r="4322" spans="3:3">
      <c r="C4322" t="s">
        <v>3137</v>
      </c>
    </row>
    <row r="4323" spans="3:3">
      <c r="C4323" t="s">
        <v>23</v>
      </c>
    </row>
    <row r="4324" spans="3:3">
      <c r="C4324" t="s">
        <v>3138</v>
      </c>
    </row>
    <row r="4325" spans="3:3">
      <c r="C4325" t="s">
        <v>902</v>
      </c>
    </row>
    <row r="4326" spans="3:3">
      <c r="C4326" t="s">
        <v>1744</v>
      </c>
    </row>
    <row r="4327" spans="3:3">
      <c r="C4327" t="s">
        <v>425</v>
      </c>
    </row>
    <row r="4328" spans="3:3">
      <c r="C4328" t="s">
        <v>3139</v>
      </c>
    </row>
    <row r="4329" spans="3:3">
      <c r="C4329" t="s">
        <v>3140</v>
      </c>
    </row>
    <row r="4330" spans="3:3">
      <c r="C4330" t="s">
        <v>3141</v>
      </c>
    </row>
    <row r="4331" spans="3:3">
      <c r="C4331" t="s">
        <v>709</v>
      </c>
    </row>
    <row r="4332" spans="3:3">
      <c r="C4332" t="s">
        <v>1758</v>
      </c>
    </row>
    <row r="4333" spans="3:3">
      <c r="C4333" t="s">
        <v>83</v>
      </c>
    </row>
    <row r="4334" spans="3:3">
      <c r="C4334" t="s">
        <v>3142</v>
      </c>
    </row>
    <row r="4335" spans="3:3">
      <c r="C4335" t="s">
        <v>3143</v>
      </c>
    </row>
    <row r="4336" spans="3:3">
      <c r="C4336" t="s">
        <v>3144</v>
      </c>
    </row>
    <row r="4337" spans="3:3">
      <c r="C4337" t="s">
        <v>3145</v>
      </c>
    </row>
    <row r="4338" spans="3:3">
      <c r="C4338" t="s">
        <v>3146</v>
      </c>
    </row>
    <row r="4339" spans="3:3">
      <c r="C4339" t="s">
        <v>555</v>
      </c>
    </row>
    <row r="4340" spans="3:3">
      <c r="C4340" t="s">
        <v>556</v>
      </c>
    </row>
    <row r="4341" spans="3:3">
      <c r="C4341" t="s">
        <v>557</v>
      </c>
    </row>
    <row r="4342" spans="3:3">
      <c r="C4342" t="s">
        <v>558</v>
      </c>
    </row>
    <row r="4343" spans="3:3">
      <c r="C4343" t="s">
        <v>1403</v>
      </c>
    </row>
    <row r="4344" spans="3:3">
      <c r="C4344" t="s">
        <v>1404</v>
      </c>
    </row>
    <row r="4345" spans="3:3">
      <c r="C4345" t="s">
        <v>559</v>
      </c>
    </row>
    <row r="4346" spans="3:3">
      <c r="C4346" t="s">
        <v>227</v>
      </c>
    </row>
    <row r="4347" spans="3:3">
      <c r="C4347" t="s">
        <v>3147</v>
      </c>
    </row>
    <row r="4348" spans="3:3">
      <c r="C4348" t="s">
        <v>2876</v>
      </c>
    </row>
    <row r="4349" spans="3:3">
      <c r="C4349" t="s">
        <v>780</v>
      </c>
    </row>
    <row r="4350" spans="3:3">
      <c r="C4350" t="s">
        <v>1405</v>
      </c>
    </row>
    <row r="4351" spans="3:3">
      <c r="C4351" t="s">
        <v>1406</v>
      </c>
    </row>
    <row r="4352" spans="3:3">
      <c r="C4352" t="s">
        <v>3148</v>
      </c>
    </row>
    <row r="4353" spans="3:3">
      <c r="C4353" t="s">
        <v>1407</v>
      </c>
    </row>
    <row r="4354" spans="3:3">
      <c r="C4354" t="s">
        <v>813</v>
      </c>
    </row>
    <row r="4355" spans="3:3">
      <c r="C4355" t="s">
        <v>814</v>
      </c>
    </row>
    <row r="4356" spans="3:3">
      <c r="C4356" t="s">
        <v>319</v>
      </c>
    </row>
    <row r="4357" spans="3:3">
      <c r="C4357" t="s">
        <v>320</v>
      </c>
    </row>
    <row r="4358" spans="3:3">
      <c r="C4358">
        <v>82</v>
      </c>
    </row>
    <row r="4359" spans="3:3">
      <c r="C4359" t="s">
        <v>829</v>
      </c>
    </row>
    <row r="4360" spans="3:3">
      <c r="C4360" t="s">
        <v>227</v>
      </c>
    </row>
    <row r="4361" spans="3:3">
      <c r="C4361" t="s">
        <v>3147</v>
      </c>
    </row>
    <row r="4362" spans="3:3">
      <c r="C4362" t="s">
        <v>2876</v>
      </c>
    </row>
    <row r="4363" spans="3:3">
      <c r="C4363" t="s">
        <v>1408</v>
      </c>
    </row>
    <row r="4364" spans="3:3">
      <c r="C4364" t="s">
        <v>560</v>
      </c>
    </row>
    <row r="4365" spans="3:3">
      <c r="C4365" t="s">
        <v>1409</v>
      </c>
    </row>
    <row r="4366" spans="3:3">
      <c r="C4366" t="s">
        <v>1410</v>
      </c>
    </row>
    <row r="4367" spans="3:3">
      <c r="C4367" t="s">
        <v>3149</v>
      </c>
    </row>
    <row r="4368" spans="3:3">
      <c r="C4368" t="s">
        <v>1411</v>
      </c>
    </row>
    <row r="4369" spans="3:3">
      <c r="C4369" t="s">
        <v>1412</v>
      </c>
    </row>
    <row r="4370" spans="3:3">
      <c r="C4370" t="s">
        <v>78</v>
      </c>
    </row>
    <row r="4371" spans="3:3">
      <c r="C4371" t="s">
        <v>3150</v>
      </c>
    </row>
    <row r="4372" spans="3:3">
      <c r="C4372" t="s">
        <v>3151</v>
      </c>
    </row>
    <row r="4373" spans="3:3">
      <c r="C4373" t="s">
        <v>3152</v>
      </c>
    </row>
    <row r="4374" spans="3:3">
      <c r="C4374" t="s">
        <v>3153</v>
      </c>
    </row>
    <row r="4375" spans="3:3">
      <c r="C4375" t="s">
        <v>3154</v>
      </c>
    </row>
    <row r="4376" spans="3:3">
      <c r="C4376" t="s">
        <v>10</v>
      </c>
    </row>
    <row r="4377" spans="3:3">
      <c r="C4377" t="s">
        <v>1413</v>
      </c>
    </row>
    <row r="4378" spans="3:3">
      <c r="C4378" t="s">
        <v>1414</v>
      </c>
    </row>
    <row r="4379" spans="3:3">
      <c r="C4379" t="s">
        <v>1415</v>
      </c>
    </row>
    <row r="4380" spans="3:3">
      <c r="C4380" t="s">
        <v>1416</v>
      </c>
    </row>
    <row r="4381" spans="3:3">
      <c r="C4381" t="s">
        <v>1417</v>
      </c>
    </row>
    <row r="4382" spans="3:3">
      <c r="C4382" t="s">
        <v>3155</v>
      </c>
    </row>
    <row r="4383" spans="3:3">
      <c r="C4383" t="s">
        <v>3156</v>
      </c>
    </row>
    <row r="4384" spans="3:3">
      <c r="C4384" t="s">
        <v>495</v>
      </c>
    </row>
    <row r="4385" spans="3:3">
      <c r="C4385" t="s">
        <v>3157</v>
      </c>
    </row>
    <row r="4386" spans="3:3">
      <c r="C4386" t="s">
        <v>3158</v>
      </c>
    </row>
    <row r="4387" spans="3:3">
      <c r="C4387" t="s">
        <v>813</v>
      </c>
    </row>
    <row r="4388" spans="3:3">
      <c r="C4388" t="s">
        <v>814</v>
      </c>
    </row>
    <row r="4389" spans="3:3">
      <c r="C4389" t="s">
        <v>319</v>
      </c>
    </row>
    <row r="4390" spans="3:3">
      <c r="C4390" t="s">
        <v>320</v>
      </c>
    </row>
    <row r="4391" spans="3:3">
      <c r="C4391">
        <v>83</v>
      </c>
    </row>
    <row r="4392" spans="3:3">
      <c r="C4392" t="s">
        <v>829</v>
      </c>
    </row>
    <row r="4393" spans="3:3">
      <c r="C4393" t="s">
        <v>561</v>
      </c>
    </row>
    <row r="4394" spans="3:3">
      <c r="C4394" t="s">
        <v>3159</v>
      </c>
    </row>
    <row r="4395" spans="3:3">
      <c r="C4395" t="s">
        <v>562</v>
      </c>
    </row>
    <row r="4396" spans="3:3">
      <c r="C4396" t="s">
        <v>3160</v>
      </c>
    </row>
    <row r="4397" spans="3:3">
      <c r="C4397" t="s">
        <v>563</v>
      </c>
    </row>
    <row r="4398" spans="3:3">
      <c r="C4398" t="s">
        <v>3161</v>
      </c>
    </row>
    <row r="4399" spans="3:3">
      <c r="C4399" t="s">
        <v>3162</v>
      </c>
    </row>
    <row r="4400" spans="3:3">
      <c r="C4400" t="s">
        <v>3163</v>
      </c>
    </row>
    <row r="4401" spans="3:3">
      <c r="C4401" t="s">
        <v>564</v>
      </c>
    </row>
    <row r="4402" spans="3:3">
      <c r="C4402" t="s">
        <v>565</v>
      </c>
    </row>
    <row r="4403" spans="3:3">
      <c r="C4403" t="s">
        <v>3164</v>
      </c>
    </row>
    <row r="4404" spans="3:3">
      <c r="C4404" t="s">
        <v>3165</v>
      </c>
    </row>
    <row r="4405" spans="3:3">
      <c r="C4405" t="s">
        <v>3166</v>
      </c>
    </row>
    <row r="4406" spans="3:3">
      <c r="C4406" t="s">
        <v>3167</v>
      </c>
    </row>
    <row r="4407" spans="3:3">
      <c r="C4407" t="s">
        <v>3168</v>
      </c>
    </row>
    <row r="4408" spans="3:3">
      <c r="C4408" t="s">
        <v>3169</v>
      </c>
    </row>
    <row r="4409" spans="3:3">
      <c r="C4409" t="s">
        <v>3170</v>
      </c>
    </row>
    <row r="4410" spans="3:3">
      <c r="C4410" t="s">
        <v>3171</v>
      </c>
    </row>
    <row r="4411" spans="3:3">
      <c r="C4411" t="s">
        <v>813</v>
      </c>
    </row>
    <row r="4412" spans="3:3">
      <c r="C4412" t="s">
        <v>814</v>
      </c>
    </row>
    <row r="4413" spans="3:3">
      <c r="C4413" t="s">
        <v>319</v>
      </c>
    </row>
    <row r="4414" spans="3:3">
      <c r="C4414" t="s">
        <v>320</v>
      </c>
    </row>
    <row r="4415" spans="3:3">
      <c r="C4415">
        <v>84</v>
      </c>
    </row>
    <row r="4416" spans="3:3">
      <c r="C4416" t="s">
        <v>829</v>
      </c>
    </row>
    <row r="4417" spans="3:3">
      <c r="C4417" t="s">
        <v>1418</v>
      </c>
    </row>
    <row r="4418" spans="3:3">
      <c r="C4418" t="s">
        <v>566</v>
      </c>
    </row>
    <row r="4419" spans="3:3">
      <c r="C4419" t="s">
        <v>567</v>
      </c>
    </row>
    <row r="4420" spans="3:3">
      <c r="C4420" t="s">
        <v>568</v>
      </c>
    </row>
    <row r="4421" spans="3:3">
      <c r="C4421" t="s">
        <v>228</v>
      </c>
    </row>
    <row r="4422" spans="3:3">
      <c r="C4422" t="s">
        <v>1419</v>
      </c>
    </row>
    <row r="4423" spans="3:3">
      <c r="C4423" t="s">
        <v>1420</v>
      </c>
    </row>
    <row r="4424" spans="3:3">
      <c r="C4424" t="s">
        <v>781</v>
      </c>
    </row>
    <row r="4425" spans="3:3">
      <c r="C4425" t="s">
        <v>569</v>
      </c>
    </row>
    <row r="4426" spans="3:3">
      <c r="C4426" t="s">
        <v>1421</v>
      </c>
    </row>
    <row r="4427" spans="3:3">
      <c r="C4427" t="s">
        <v>415</v>
      </c>
    </row>
    <row r="4428" spans="3:3">
      <c r="C4428" t="s">
        <v>570</v>
      </c>
    </row>
    <row r="4429" spans="3:3">
      <c r="C4429" t="s">
        <v>1422</v>
      </c>
    </row>
    <row r="4430" spans="3:3">
      <c r="C4430" t="s">
        <v>3172</v>
      </c>
    </row>
    <row r="4431" spans="3:3">
      <c r="C4431" t="s">
        <v>566</v>
      </c>
    </row>
    <row r="4432" spans="3:3">
      <c r="C4432" t="s">
        <v>2876</v>
      </c>
    </row>
    <row r="4433" spans="3:3">
      <c r="C4433" t="s">
        <v>571</v>
      </c>
    </row>
    <row r="4434" spans="3:3">
      <c r="C4434" t="s">
        <v>3173</v>
      </c>
    </row>
    <row r="4435" spans="3:3">
      <c r="C4435" t="s">
        <v>3174</v>
      </c>
    </row>
    <row r="4436" spans="3:3">
      <c r="C4436" t="s">
        <v>3175</v>
      </c>
    </row>
    <row r="4437" spans="3:3">
      <c r="C4437" t="s">
        <v>3176</v>
      </c>
    </row>
    <row r="4438" spans="3:3">
      <c r="C4438" t="s">
        <v>3177</v>
      </c>
    </row>
    <row r="4439" spans="3:3">
      <c r="C4439" t="s">
        <v>3178</v>
      </c>
    </row>
    <row r="4440" spans="3:3">
      <c r="C4440" t="s">
        <v>572</v>
      </c>
    </row>
    <row r="4441" spans="3:3">
      <c r="C4441" t="s">
        <v>3179</v>
      </c>
    </row>
    <row r="4442" spans="3:3">
      <c r="C4442" t="s">
        <v>3180</v>
      </c>
    </row>
    <row r="4443" spans="3:3">
      <c r="C4443" t="s">
        <v>3181</v>
      </c>
    </row>
    <row r="4444" spans="3:3">
      <c r="C4444" t="s">
        <v>813</v>
      </c>
    </row>
    <row r="4445" spans="3:3">
      <c r="C4445" t="s">
        <v>814</v>
      </c>
    </row>
    <row r="4446" spans="3:3">
      <c r="C4446" t="s">
        <v>319</v>
      </c>
    </row>
    <row r="4447" spans="3:3">
      <c r="C4447" t="s">
        <v>320</v>
      </c>
    </row>
    <row r="4448" spans="3:3">
      <c r="C4448">
        <v>85</v>
      </c>
    </row>
    <row r="4449" spans="3:3">
      <c r="C4449" t="s">
        <v>829</v>
      </c>
    </row>
    <row r="4450" spans="3:3">
      <c r="C4450" t="s">
        <v>2876</v>
      </c>
    </row>
    <row r="4451" spans="3:3">
      <c r="C4451" t="s">
        <v>3182</v>
      </c>
    </row>
    <row r="4452" spans="3:3">
      <c r="C4452" t="s">
        <v>3183</v>
      </c>
    </row>
    <row r="4453" spans="3:3">
      <c r="C4453" t="s">
        <v>3184</v>
      </c>
    </row>
    <row r="4454" spans="3:3">
      <c r="C4454" t="s">
        <v>3185</v>
      </c>
    </row>
    <row r="4455" spans="3:3">
      <c r="C4455" t="s">
        <v>3186</v>
      </c>
    </row>
    <row r="4456" spans="3:3">
      <c r="C4456" t="s">
        <v>84</v>
      </c>
    </row>
    <row r="4457" spans="3:3">
      <c r="C4457" t="s">
        <v>3187</v>
      </c>
    </row>
    <row r="4458" spans="3:3">
      <c r="C4458" t="s">
        <v>3188</v>
      </c>
    </row>
    <row r="4459" spans="3:3">
      <c r="C4459" t="s">
        <v>3189</v>
      </c>
    </row>
    <row r="4460" spans="3:3">
      <c r="C4460" t="s">
        <v>3190</v>
      </c>
    </row>
    <row r="4461" spans="3:3">
      <c r="C4461" t="s">
        <v>813</v>
      </c>
    </row>
    <row r="4462" spans="3:3">
      <c r="C4462" t="s">
        <v>814</v>
      </c>
    </row>
    <row r="4463" spans="3:3">
      <c r="C4463" t="s">
        <v>319</v>
      </c>
    </row>
    <row r="4464" spans="3:3">
      <c r="C4464" t="s">
        <v>320</v>
      </c>
    </row>
    <row r="4465" spans="3:3">
      <c r="C4465">
        <v>86</v>
      </c>
    </row>
    <row r="4466" spans="3:3">
      <c r="C4466" t="s">
        <v>829</v>
      </c>
    </row>
    <row r="4467" spans="3:3">
      <c r="C4467" t="s">
        <v>1423</v>
      </c>
    </row>
    <row r="4468" spans="3:3">
      <c r="C4468" t="s">
        <v>573</v>
      </c>
    </row>
    <row r="4469" spans="3:3">
      <c r="C4469" t="s">
        <v>1424</v>
      </c>
    </row>
    <row r="4470" spans="3:3">
      <c r="C4470" t="s">
        <v>574</v>
      </c>
    </row>
    <row r="4471" spans="3:3">
      <c r="C4471" t="s">
        <v>575</v>
      </c>
    </row>
    <row r="4472" spans="3:3">
      <c r="C4472" t="s">
        <v>1425</v>
      </c>
    </row>
    <row r="4473" spans="3:3">
      <c r="C4473" t="s">
        <v>1888</v>
      </c>
    </row>
    <row r="4474" spans="3:3">
      <c r="C4474" t="s">
        <v>47</v>
      </c>
    </row>
    <row r="4475" spans="3:3">
      <c r="C4475" t="s">
        <v>48</v>
      </c>
    </row>
    <row r="4476" spans="3:3">
      <c r="C4476" t="s">
        <v>2064</v>
      </c>
    </row>
    <row r="4477" spans="3:3">
      <c r="C4477" t="s">
        <v>3191</v>
      </c>
    </row>
    <row r="4478" spans="3:3">
      <c r="C4478" t="s">
        <v>134</v>
      </c>
    </row>
    <row r="4479" spans="3:3">
      <c r="C4479" t="s">
        <v>3192</v>
      </c>
    </row>
    <row r="4480" spans="3:3">
      <c r="C4480" t="s">
        <v>1956</v>
      </c>
    </row>
    <row r="4481" spans="3:3">
      <c r="C4481" t="s">
        <v>3193</v>
      </c>
    </row>
    <row r="4482" spans="3:3">
      <c r="C4482" t="s">
        <v>3194</v>
      </c>
    </row>
    <row r="4483" spans="3:3">
      <c r="C4483" t="s">
        <v>576</v>
      </c>
    </row>
    <row r="4484" spans="3:3">
      <c r="C4484" t="s">
        <v>3195</v>
      </c>
    </row>
    <row r="4485" spans="3:3">
      <c r="C4485" t="s">
        <v>3196</v>
      </c>
    </row>
    <row r="4486" spans="3:3">
      <c r="C4486" t="s">
        <v>577</v>
      </c>
    </row>
    <row r="4487" spans="3:3">
      <c r="C4487" t="s">
        <v>3197</v>
      </c>
    </row>
    <row r="4488" spans="3:3">
      <c r="C4488" t="s">
        <v>3198</v>
      </c>
    </row>
    <row r="4489" spans="3:3">
      <c r="C4489" t="s">
        <v>229</v>
      </c>
    </row>
    <row r="4490" spans="3:3">
      <c r="C4490" t="s">
        <v>3199</v>
      </c>
    </row>
    <row r="4491" spans="3:3">
      <c r="C4491" t="s">
        <v>3200</v>
      </c>
    </row>
    <row r="4492" spans="3:3">
      <c r="C4492" t="s">
        <v>578</v>
      </c>
    </row>
    <row r="4493" spans="3:3">
      <c r="C4493" t="s">
        <v>3201</v>
      </c>
    </row>
    <row r="4494" spans="3:3">
      <c r="C4494" t="s">
        <v>3202</v>
      </c>
    </row>
    <row r="4495" spans="3:3">
      <c r="C4495" t="s">
        <v>579</v>
      </c>
    </row>
    <row r="4496" spans="3:3">
      <c r="C4496" t="s">
        <v>3203</v>
      </c>
    </row>
    <row r="4497" spans="3:3">
      <c r="C4497" t="s">
        <v>1433</v>
      </c>
    </row>
    <row r="4498" spans="3:3">
      <c r="C4498" t="s">
        <v>580</v>
      </c>
    </row>
    <row r="4499" spans="3:3">
      <c r="C4499" t="s">
        <v>3204</v>
      </c>
    </row>
    <row r="4500" spans="3:3">
      <c r="C4500" t="s">
        <v>3205</v>
      </c>
    </row>
    <row r="4501" spans="3:3">
      <c r="C4501" t="s">
        <v>581</v>
      </c>
    </row>
    <row r="4502" spans="3:3">
      <c r="C4502" t="s">
        <v>3206</v>
      </c>
    </row>
    <row r="4503" spans="3:3">
      <c r="C4503" t="s">
        <v>66</v>
      </c>
    </row>
    <row r="4504" spans="3:3">
      <c r="C4504" t="s">
        <v>3207</v>
      </c>
    </row>
    <row r="4505" spans="3:3">
      <c r="C4505" t="s">
        <v>3208</v>
      </c>
    </row>
    <row r="4506" spans="3:3">
      <c r="C4506" t="s">
        <v>3209</v>
      </c>
    </row>
    <row r="4507" spans="3:3">
      <c r="C4507" t="s">
        <v>3210</v>
      </c>
    </row>
    <row r="4508" spans="3:3">
      <c r="C4508" t="s">
        <v>3211</v>
      </c>
    </row>
    <row r="4509" spans="3:3">
      <c r="C4509" t="s">
        <v>2</v>
      </c>
    </row>
    <row r="4510" spans="3:3">
      <c r="C4510" t="s">
        <v>582</v>
      </c>
    </row>
    <row r="4511" spans="3:3">
      <c r="C4511" t="s">
        <v>308</v>
      </c>
    </row>
    <row r="4512" spans="3:3">
      <c r="C4512" t="s">
        <v>3212</v>
      </c>
    </row>
    <row r="4513" spans="3:3">
      <c r="C4513" t="s">
        <v>3213</v>
      </c>
    </row>
    <row r="4514" spans="3:3">
      <c r="C4514" t="s">
        <v>1775</v>
      </c>
    </row>
    <row r="4515" spans="3:3">
      <c r="C4515" t="s">
        <v>1426</v>
      </c>
    </row>
    <row r="4516" spans="3:3">
      <c r="C4516" t="s">
        <v>1888</v>
      </c>
    </row>
    <row r="4517" spans="3:3">
      <c r="C4517" t="s">
        <v>47</v>
      </c>
    </row>
    <row r="4518" spans="3:3">
      <c r="C4518" t="s">
        <v>48</v>
      </c>
    </row>
    <row r="4519" spans="3:3">
      <c r="C4519" t="s">
        <v>1427</v>
      </c>
    </row>
    <row r="4520" spans="3:3">
      <c r="C4520" t="s">
        <v>3214</v>
      </c>
    </row>
    <row r="4521" spans="3:3">
      <c r="C4521" t="s">
        <v>3215</v>
      </c>
    </row>
    <row r="4522" spans="3:3">
      <c r="C4522" t="s">
        <v>583</v>
      </c>
    </row>
    <row r="4523" spans="3:3">
      <c r="C4523" t="s">
        <v>3216</v>
      </c>
    </row>
    <row r="4524" spans="3:3">
      <c r="C4524" t="s">
        <v>865</v>
      </c>
    </row>
    <row r="4525" spans="3:3">
      <c r="C4525" t="s">
        <v>3217</v>
      </c>
    </row>
    <row r="4526" spans="3:3">
      <c r="C4526" t="s">
        <v>3198</v>
      </c>
    </row>
    <row r="4527" spans="3:3">
      <c r="C4527" t="s">
        <v>1428</v>
      </c>
    </row>
    <row r="4528" spans="3:3">
      <c r="C4528" t="s">
        <v>1888</v>
      </c>
    </row>
    <row r="4529" spans="3:3">
      <c r="C4529" t="s">
        <v>47</v>
      </c>
    </row>
    <row r="4530" spans="3:3">
      <c r="C4530" t="s">
        <v>48</v>
      </c>
    </row>
    <row r="4531" spans="3:3">
      <c r="C4531" t="s">
        <v>1429</v>
      </c>
    </row>
    <row r="4532" spans="3:3">
      <c r="C4532" t="s">
        <v>3218</v>
      </c>
    </row>
    <row r="4533" spans="3:3">
      <c r="C4533" t="s">
        <v>713</v>
      </c>
    </row>
    <row r="4534" spans="3:3">
      <c r="C4534" t="s">
        <v>1430</v>
      </c>
    </row>
    <row r="4535" spans="3:3">
      <c r="C4535" t="s">
        <v>3219</v>
      </c>
    </row>
    <row r="4536" spans="3:3">
      <c r="C4536" t="s">
        <v>3220</v>
      </c>
    </row>
    <row r="4537" spans="3:3">
      <c r="C4537" t="s">
        <v>3221</v>
      </c>
    </row>
    <row r="4538" spans="3:3">
      <c r="C4538" t="s">
        <v>3200</v>
      </c>
    </row>
    <row r="4539" spans="3:3">
      <c r="C4539" t="s">
        <v>813</v>
      </c>
    </row>
    <row r="4540" spans="3:3">
      <c r="C4540" t="s">
        <v>814</v>
      </c>
    </row>
    <row r="4541" spans="3:3">
      <c r="C4541" t="s">
        <v>319</v>
      </c>
    </row>
    <row r="4542" spans="3:3">
      <c r="C4542" t="s">
        <v>320</v>
      </c>
    </row>
    <row r="4543" spans="3:3">
      <c r="C4543">
        <v>87</v>
      </c>
    </row>
    <row r="4544" spans="3:3">
      <c r="C4544" t="s">
        <v>829</v>
      </c>
    </row>
    <row r="4545" spans="3:3">
      <c r="C4545" t="s">
        <v>1431</v>
      </c>
    </row>
    <row r="4546" spans="3:3">
      <c r="C4546" t="s">
        <v>1888</v>
      </c>
    </row>
    <row r="4547" spans="3:3">
      <c r="C4547" t="s">
        <v>47</v>
      </c>
    </row>
    <row r="4548" spans="3:3">
      <c r="C4548" t="s">
        <v>48</v>
      </c>
    </row>
    <row r="4549" spans="3:3">
      <c r="C4549" t="s">
        <v>1432</v>
      </c>
    </row>
    <row r="4550" spans="3:3">
      <c r="C4550" t="s">
        <v>3222</v>
      </c>
    </row>
    <row r="4551" spans="3:3">
      <c r="C4551" t="s">
        <v>3223</v>
      </c>
    </row>
    <row r="4552" spans="3:3">
      <c r="C4552" t="s">
        <v>584</v>
      </c>
    </row>
    <row r="4553" spans="3:3">
      <c r="C4553" t="s">
        <v>226</v>
      </c>
    </row>
    <row r="4554" spans="3:3">
      <c r="C4554" t="s">
        <v>212</v>
      </c>
    </row>
    <row r="4555" spans="3:3">
      <c r="C4555" t="s">
        <v>406</v>
      </c>
    </row>
    <row r="4556" spans="3:3">
      <c r="C4556" t="s">
        <v>240</v>
      </c>
    </row>
    <row r="4557" spans="3:3">
      <c r="C4557" t="s">
        <v>70</v>
      </c>
    </row>
    <row r="4558" spans="3:3">
      <c r="C4558" t="s">
        <v>3224</v>
      </c>
    </row>
    <row r="4559" spans="3:3">
      <c r="C4559" t="s">
        <v>1433</v>
      </c>
    </row>
    <row r="4560" spans="3:3">
      <c r="C4560" t="s">
        <v>1434</v>
      </c>
    </row>
    <row r="4561" spans="3:3">
      <c r="C4561" t="s">
        <v>393</v>
      </c>
    </row>
    <row r="4562" spans="3:3">
      <c r="C4562" t="s">
        <v>47</v>
      </c>
    </row>
    <row r="4563" spans="3:3">
      <c r="C4563" t="s">
        <v>48</v>
      </c>
    </row>
    <row r="4564" spans="3:3">
      <c r="C4564" t="s">
        <v>1435</v>
      </c>
    </row>
    <row r="4565" spans="3:3">
      <c r="C4565" t="s">
        <v>3225</v>
      </c>
    </row>
    <row r="4566" spans="3:3">
      <c r="C4566" t="s">
        <v>231</v>
      </c>
    </row>
    <row r="4567" spans="3:3">
      <c r="C4567" t="s">
        <v>3226</v>
      </c>
    </row>
    <row r="4568" spans="3:3">
      <c r="C4568" t="s">
        <v>232</v>
      </c>
    </row>
    <row r="4569" spans="3:3">
      <c r="C4569" t="s">
        <v>233</v>
      </c>
    </row>
    <row r="4570" spans="3:3">
      <c r="C4570" t="s">
        <v>3227</v>
      </c>
    </row>
    <row r="4571" spans="3:3">
      <c r="C4571" t="s">
        <v>66</v>
      </c>
    </row>
    <row r="4572" spans="3:3">
      <c r="C4572" t="s">
        <v>813</v>
      </c>
    </row>
    <row r="4573" spans="3:3">
      <c r="C4573" t="s">
        <v>814</v>
      </c>
    </row>
    <row r="4574" spans="3:3">
      <c r="C4574" t="s">
        <v>319</v>
      </c>
    </row>
    <row r="4575" spans="3:3">
      <c r="C4575" t="s">
        <v>320</v>
      </c>
    </row>
    <row r="4576" spans="3:3">
      <c r="C4576">
        <v>88</v>
      </c>
    </row>
    <row r="4577" spans="3:3">
      <c r="C4577" t="s">
        <v>829</v>
      </c>
    </row>
    <row r="4578" spans="3:3">
      <c r="C4578" t="s">
        <v>1436</v>
      </c>
    </row>
    <row r="4579" spans="3:3">
      <c r="C4579" t="s">
        <v>234</v>
      </c>
    </row>
    <row r="4580" spans="3:3">
      <c r="C4580" t="s">
        <v>1437</v>
      </c>
    </row>
    <row r="4581" spans="3:3">
      <c r="C4581" t="s">
        <v>1438</v>
      </c>
    </row>
    <row r="4582" spans="3:3">
      <c r="C4582" t="s">
        <v>1439</v>
      </c>
    </row>
    <row r="4583" spans="3:3">
      <c r="C4583" t="s">
        <v>1440</v>
      </c>
    </row>
    <row r="4584" spans="3:3">
      <c r="C4584" t="s">
        <v>585</v>
      </c>
    </row>
    <row r="4585" spans="3:3">
      <c r="C4585" t="s">
        <v>586</v>
      </c>
    </row>
    <row r="4586" spans="3:3">
      <c r="C4586" t="s">
        <v>782</v>
      </c>
    </row>
    <row r="4587" spans="3:3">
      <c r="C4587" t="s">
        <v>1441</v>
      </c>
    </row>
    <row r="4588" spans="3:3">
      <c r="C4588" t="s">
        <v>1442</v>
      </c>
    </row>
    <row r="4589" spans="3:3">
      <c r="C4589" t="s">
        <v>783</v>
      </c>
    </row>
    <row r="4590" spans="3:3">
      <c r="C4590" t="s">
        <v>1443</v>
      </c>
    </row>
    <row r="4591" spans="3:3">
      <c r="C4591" t="s">
        <v>1444</v>
      </c>
    </row>
    <row r="4592" spans="3:3">
      <c r="C4592" t="s">
        <v>415</v>
      </c>
    </row>
    <row r="4593" spans="3:3">
      <c r="C4593" t="s">
        <v>587</v>
      </c>
    </row>
    <row r="4594" spans="3:3">
      <c r="C4594" t="s">
        <v>1445</v>
      </c>
    </row>
    <row r="4595" spans="3:3">
      <c r="C4595" t="s">
        <v>1446</v>
      </c>
    </row>
    <row r="4596" spans="3:3">
      <c r="C4596" t="s">
        <v>235</v>
      </c>
    </row>
    <row r="4597" spans="3:3">
      <c r="C4597" t="s">
        <v>589</v>
      </c>
    </row>
    <row r="4598" spans="3:3">
      <c r="C4598" t="s">
        <v>588</v>
      </c>
    </row>
    <row r="4599" spans="3:3">
      <c r="C4599" t="s">
        <v>45</v>
      </c>
    </row>
    <row r="4600" spans="3:3">
      <c r="C4600" t="s">
        <v>3228</v>
      </c>
    </row>
    <row r="4601" spans="3:3">
      <c r="C4601" t="s">
        <v>3229</v>
      </c>
    </row>
    <row r="4602" spans="3:3">
      <c r="C4602" t="s">
        <v>3230</v>
      </c>
    </row>
    <row r="4603" spans="3:3">
      <c r="C4603" t="s">
        <v>80</v>
      </c>
    </row>
    <row r="4604" spans="3:3">
      <c r="C4604" t="s">
        <v>3231</v>
      </c>
    </row>
    <row r="4605" spans="3:3">
      <c r="C4605" t="s">
        <v>3232</v>
      </c>
    </row>
    <row r="4606" spans="3:3">
      <c r="C4606" t="s">
        <v>3233</v>
      </c>
    </row>
    <row r="4607" spans="3:3">
      <c r="C4607" t="s">
        <v>3234</v>
      </c>
    </row>
    <row r="4608" spans="3:3">
      <c r="C4608" t="s">
        <v>813</v>
      </c>
    </row>
    <row r="4609" spans="3:3">
      <c r="C4609" t="s">
        <v>814</v>
      </c>
    </row>
    <row r="4610" spans="3:3">
      <c r="C4610" t="s">
        <v>319</v>
      </c>
    </row>
    <row r="4611" spans="3:3">
      <c r="C4611" t="s">
        <v>320</v>
      </c>
    </row>
    <row r="4612" spans="3:3">
      <c r="C4612">
        <v>89</v>
      </c>
    </row>
    <row r="4613" spans="3:3">
      <c r="C4613" t="s">
        <v>829</v>
      </c>
    </row>
    <row r="4614" spans="3:3">
      <c r="C4614" t="s">
        <v>589</v>
      </c>
    </row>
    <row r="4615" spans="3:3">
      <c r="C4615" t="s">
        <v>588</v>
      </c>
    </row>
    <row r="4616" spans="3:3">
      <c r="C4616" t="s">
        <v>45</v>
      </c>
    </row>
    <row r="4617" spans="3:3">
      <c r="C4617" t="s">
        <v>3228</v>
      </c>
    </row>
    <row r="4618" spans="3:3">
      <c r="C4618" t="s">
        <v>3229</v>
      </c>
    </row>
    <row r="4619" spans="3:3">
      <c r="C4619" t="s">
        <v>3230</v>
      </c>
    </row>
    <row r="4620" spans="3:3">
      <c r="C4620" t="s">
        <v>80</v>
      </c>
    </row>
    <row r="4621" spans="3:3">
      <c r="C4621" t="s">
        <v>3231</v>
      </c>
    </row>
    <row r="4622" spans="3:3">
      <c r="C4622" t="s">
        <v>3232</v>
      </c>
    </row>
    <row r="4623" spans="3:3">
      <c r="C4623" t="s">
        <v>3233</v>
      </c>
    </row>
    <row r="4624" spans="3:3">
      <c r="C4624" t="s">
        <v>3235</v>
      </c>
    </row>
    <row r="4625" spans="3:3">
      <c r="C4625" t="s">
        <v>1447</v>
      </c>
    </row>
    <row r="4626" spans="3:3">
      <c r="C4626" t="s">
        <v>590</v>
      </c>
    </row>
    <row r="4627" spans="3:3">
      <c r="C4627" t="s">
        <v>589</v>
      </c>
    </row>
    <row r="4628" spans="3:3">
      <c r="C4628" t="s">
        <v>588</v>
      </c>
    </row>
    <row r="4629" spans="3:3">
      <c r="C4629" t="s">
        <v>45</v>
      </c>
    </row>
    <row r="4630" spans="3:3">
      <c r="C4630" t="s">
        <v>3228</v>
      </c>
    </row>
    <row r="4631" spans="3:3">
      <c r="C4631" t="s">
        <v>3229</v>
      </c>
    </row>
    <row r="4632" spans="3:3">
      <c r="C4632" t="s">
        <v>3230</v>
      </c>
    </row>
    <row r="4633" spans="3:3">
      <c r="C4633" t="s">
        <v>80</v>
      </c>
    </row>
    <row r="4634" spans="3:3">
      <c r="C4634" t="s">
        <v>3231</v>
      </c>
    </row>
    <row r="4635" spans="3:3">
      <c r="C4635" t="s">
        <v>3232</v>
      </c>
    </row>
    <row r="4636" spans="3:3">
      <c r="C4636" t="s">
        <v>3233</v>
      </c>
    </row>
    <row r="4637" spans="3:3">
      <c r="C4637" t="s">
        <v>3236</v>
      </c>
    </row>
    <row r="4638" spans="3:3">
      <c r="C4638" t="s">
        <v>1448</v>
      </c>
    </row>
    <row r="4639" spans="3:3">
      <c r="C4639">
        <v>7.5</v>
      </c>
    </row>
    <row r="4640" spans="3:3">
      <c r="C4640" t="s">
        <v>70</v>
      </c>
    </row>
    <row r="4641" spans="3:3">
      <c r="C4641" t="s">
        <v>2</v>
      </c>
    </row>
    <row r="4642" spans="3:3">
      <c r="C4642" t="s">
        <v>2</v>
      </c>
    </row>
    <row r="4643" spans="3:3">
      <c r="C4643" t="s">
        <v>70</v>
      </c>
    </row>
    <row r="4644" spans="3:3">
      <c r="C4644" t="s">
        <v>499</v>
      </c>
    </row>
    <row r="4645" spans="3:3">
      <c r="C4645" t="s">
        <v>70</v>
      </c>
    </row>
    <row r="4646" spans="3:3">
      <c r="C4646" t="s">
        <v>2</v>
      </c>
    </row>
    <row r="4647" spans="3:3">
      <c r="C4647" t="s">
        <v>2</v>
      </c>
    </row>
    <row r="4648" spans="3:3">
      <c r="C4648" t="s">
        <v>70</v>
      </c>
    </row>
    <row r="4649" spans="3:3">
      <c r="C4649" t="s">
        <v>1449</v>
      </c>
    </row>
    <row r="4650" spans="3:3">
      <c r="C4650">
        <v>7.5</v>
      </c>
    </row>
    <row r="4651" spans="3:3">
      <c r="C4651" t="s">
        <v>2</v>
      </c>
    </row>
    <row r="4652" spans="3:3">
      <c r="C4652" t="s">
        <v>3237</v>
      </c>
    </row>
    <row r="4653" spans="3:3">
      <c r="C4653" t="s">
        <v>2</v>
      </c>
    </row>
    <row r="4654" spans="3:3">
      <c r="C4654" t="s">
        <v>3237</v>
      </c>
    </row>
    <row r="4655" spans="3:3">
      <c r="C4655" t="s">
        <v>1450</v>
      </c>
    </row>
    <row r="4656" spans="3:3">
      <c r="C4656">
        <v>7.5</v>
      </c>
    </row>
    <row r="4657" spans="3:3">
      <c r="C4657" t="s">
        <v>2</v>
      </c>
    </row>
    <row r="4658" spans="3:3">
      <c r="C4658" t="s">
        <v>3238</v>
      </c>
    </row>
    <row r="4659" spans="3:3">
      <c r="C4659" t="s">
        <v>2</v>
      </c>
    </row>
    <row r="4660" spans="3:3">
      <c r="C4660" t="s">
        <v>3238</v>
      </c>
    </row>
    <row r="4661" spans="3:3">
      <c r="C4661" t="s">
        <v>1454</v>
      </c>
    </row>
    <row r="4662" spans="3:3">
      <c r="C4662">
        <v>7.5</v>
      </c>
    </row>
    <row r="4663" spans="3:3">
      <c r="C4663" t="s">
        <v>2</v>
      </c>
    </row>
    <row r="4664" spans="3:3">
      <c r="C4664" t="s">
        <v>1252</v>
      </c>
    </row>
    <row r="4665" spans="3:3">
      <c r="C4665" t="s">
        <v>2</v>
      </c>
    </row>
    <row r="4666" spans="3:3">
      <c r="C4666" t="s">
        <v>1252</v>
      </c>
    </row>
    <row r="4667" spans="3:3">
      <c r="C4667" t="s">
        <v>1451</v>
      </c>
    </row>
    <row r="4668" spans="3:3">
      <c r="C4668">
        <v>7.5</v>
      </c>
    </row>
    <row r="4669" spans="3:3">
      <c r="C4669" t="s">
        <v>754</v>
      </c>
    </row>
    <row r="4670" spans="3:3">
      <c r="C4670" t="s">
        <v>2</v>
      </c>
    </row>
    <row r="4671" spans="3:3">
      <c r="C4671" t="s">
        <v>2</v>
      </c>
    </row>
    <row r="4672" spans="3:3">
      <c r="C4672" t="s">
        <v>754</v>
      </c>
    </row>
    <row r="4673" spans="3:3">
      <c r="C4673" t="s">
        <v>499</v>
      </c>
    </row>
    <row r="4674" spans="3:3">
      <c r="C4674" t="s">
        <v>754</v>
      </c>
    </row>
    <row r="4675" spans="3:3">
      <c r="C4675" t="s">
        <v>2</v>
      </c>
    </row>
    <row r="4676" spans="3:3">
      <c r="C4676" t="s">
        <v>2</v>
      </c>
    </row>
    <row r="4677" spans="3:3">
      <c r="C4677" t="s">
        <v>754</v>
      </c>
    </row>
    <row r="4678" spans="3:3">
      <c r="C4678" t="s">
        <v>1452</v>
      </c>
    </row>
    <row r="4679" spans="3:3">
      <c r="C4679" t="s">
        <v>2</v>
      </c>
    </row>
    <row r="4680" spans="3:3">
      <c r="C4680" t="s">
        <v>49</v>
      </c>
    </row>
    <row r="4681" spans="3:3">
      <c r="C4681" t="s">
        <v>2</v>
      </c>
    </row>
    <row r="4682" spans="3:3">
      <c r="C4682" t="s">
        <v>49</v>
      </c>
    </row>
    <row r="4683" spans="3:3">
      <c r="C4683" t="s">
        <v>591</v>
      </c>
    </row>
    <row r="4684" spans="3:3">
      <c r="C4684">
        <v>7.8</v>
      </c>
    </row>
    <row r="4685" spans="3:3">
      <c r="C4685" t="s">
        <v>3239</v>
      </c>
    </row>
    <row r="4686" spans="3:3">
      <c r="C4686" t="s">
        <v>2</v>
      </c>
    </row>
    <row r="4687" spans="3:3">
      <c r="C4687" t="s">
        <v>2</v>
      </c>
    </row>
    <row r="4688" spans="3:3">
      <c r="C4688" t="s">
        <v>3239</v>
      </c>
    </row>
    <row r="4689" spans="3:3">
      <c r="C4689" t="s">
        <v>499</v>
      </c>
    </row>
    <row r="4690" spans="3:3">
      <c r="C4690" t="s">
        <v>3240</v>
      </c>
    </row>
    <row r="4691" spans="3:3">
      <c r="C4691" t="s">
        <v>2</v>
      </c>
    </row>
    <row r="4692" spans="3:3">
      <c r="C4692" t="s">
        <v>2</v>
      </c>
    </row>
    <row r="4693" spans="3:3">
      <c r="C4693" t="s">
        <v>3240</v>
      </c>
    </row>
    <row r="4694" spans="3:3">
      <c r="C4694" t="s">
        <v>592</v>
      </c>
    </row>
    <row r="4695" spans="3:3">
      <c r="C4695" t="s">
        <v>2301</v>
      </c>
    </row>
    <row r="4696" spans="3:3">
      <c r="C4696" t="s">
        <v>2</v>
      </c>
    </row>
    <row r="4697" spans="3:3">
      <c r="C4697" t="s">
        <v>2</v>
      </c>
    </row>
    <row r="4698" spans="3:3">
      <c r="C4698" t="s">
        <v>2301</v>
      </c>
    </row>
    <row r="4699" spans="3:3">
      <c r="C4699" t="s">
        <v>14</v>
      </c>
    </row>
    <row r="4700" spans="3:3">
      <c r="C4700">
        <v>9.4</v>
      </c>
    </row>
    <row r="4701" spans="3:3">
      <c r="C4701" t="s">
        <v>2</v>
      </c>
    </row>
    <row r="4702" spans="3:3">
      <c r="C4702" t="s">
        <v>66</v>
      </c>
    </row>
    <row r="4703" spans="3:3">
      <c r="C4703" t="s">
        <v>1293</v>
      </c>
    </row>
    <row r="4704" spans="3:3">
      <c r="C4704" t="s">
        <v>15</v>
      </c>
    </row>
    <row r="4705" spans="3:3">
      <c r="C4705" t="s">
        <v>1453</v>
      </c>
    </row>
    <row r="4706" spans="3:3">
      <c r="C4706">
        <v>7.6</v>
      </c>
    </row>
    <row r="4707" spans="3:3">
      <c r="C4707" t="s">
        <v>32</v>
      </c>
    </row>
    <row r="4708" spans="3:3">
      <c r="C4708" t="s">
        <v>2</v>
      </c>
    </row>
    <row r="4709" spans="3:3">
      <c r="C4709" t="s">
        <v>2</v>
      </c>
    </row>
    <row r="4710" spans="3:3">
      <c r="C4710" t="s">
        <v>32</v>
      </c>
    </row>
    <row r="4711" spans="3:3">
      <c r="C4711" t="s">
        <v>499</v>
      </c>
    </row>
    <row r="4712" spans="3:3">
      <c r="C4712" t="s">
        <v>32</v>
      </c>
    </row>
    <row r="4713" spans="3:3">
      <c r="C4713" t="s">
        <v>2</v>
      </c>
    </row>
    <row r="4714" spans="3:3">
      <c r="C4714" t="s">
        <v>2</v>
      </c>
    </row>
    <row r="4715" spans="3:3">
      <c r="C4715" t="s">
        <v>32</v>
      </c>
    </row>
    <row r="4716" spans="3:3">
      <c r="C4716" t="s">
        <v>593</v>
      </c>
    </row>
    <row r="4717" spans="3:3">
      <c r="C4717" t="s">
        <v>3241</v>
      </c>
    </row>
    <row r="4718" spans="3:3">
      <c r="C4718" t="s">
        <v>3242</v>
      </c>
    </row>
    <row r="4719" spans="3:3">
      <c r="C4719" t="s">
        <v>2</v>
      </c>
    </row>
    <row r="4720" spans="3:3">
      <c r="C4720" t="s">
        <v>2</v>
      </c>
    </row>
    <row r="4721" spans="3:3">
      <c r="C4721" t="s">
        <v>3242</v>
      </c>
    </row>
    <row r="4722" spans="3:3">
      <c r="C4722" t="s">
        <v>499</v>
      </c>
    </row>
    <row r="4723" spans="3:3">
      <c r="C4723" t="s">
        <v>3243</v>
      </c>
    </row>
    <row r="4724" spans="3:3">
      <c r="C4724" t="s">
        <v>2</v>
      </c>
    </row>
    <row r="4725" spans="3:3">
      <c r="C4725" t="s">
        <v>2</v>
      </c>
    </row>
    <row r="4726" spans="3:3">
      <c r="C4726" t="s">
        <v>3243</v>
      </c>
    </row>
    <row r="4727" spans="3:3">
      <c r="C4727" t="s">
        <v>592</v>
      </c>
    </row>
    <row r="4728" spans="3:3">
      <c r="C4728" t="s">
        <v>123</v>
      </c>
    </row>
    <row r="4729" spans="3:3">
      <c r="C4729" t="s">
        <v>2</v>
      </c>
    </row>
    <row r="4730" spans="3:3">
      <c r="C4730" t="s">
        <v>2</v>
      </c>
    </row>
    <row r="4731" spans="3:3">
      <c r="C4731" t="s">
        <v>123</v>
      </c>
    </row>
    <row r="4732" spans="3:3">
      <c r="C4732" t="s">
        <v>83</v>
      </c>
    </row>
    <row r="4733" spans="3:3">
      <c r="C4733" t="s">
        <v>3244</v>
      </c>
    </row>
    <row r="4734" spans="3:3">
      <c r="C4734" t="s">
        <v>3245</v>
      </c>
    </row>
    <row r="4735" spans="3:3">
      <c r="C4735" t="s">
        <v>1293</v>
      </c>
    </row>
    <row r="4736" spans="3:3">
      <c r="C4736" t="s">
        <v>3246</v>
      </c>
    </row>
    <row r="4737" spans="3:3">
      <c r="C4737" t="s">
        <v>1447</v>
      </c>
    </row>
    <row r="4738" spans="3:3">
      <c r="C4738" t="s">
        <v>813</v>
      </c>
    </row>
    <row r="4739" spans="3:3">
      <c r="C4739" t="s">
        <v>814</v>
      </c>
    </row>
    <row r="4740" spans="3:3">
      <c r="C4740" t="s">
        <v>319</v>
      </c>
    </row>
    <row r="4741" spans="3:3">
      <c r="C4741" t="s">
        <v>320</v>
      </c>
    </row>
    <row r="4742" spans="3:3">
      <c r="C4742">
        <v>90</v>
      </c>
    </row>
    <row r="4743" spans="3:3">
      <c r="C4743" t="s">
        <v>829</v>
      </c>
    </row>
    <row r="4744" spans="3:3">
      <c r="C4744" t="s">
        <v>571</v>
      </c>
    </row>
    <row r="4745" spans="3:3">
      <c r="C4745" t="s">
        <v>589</v>
      </c>
    </row>
    <row r="4746" spans="3:3">
      <c r="C4746" t="s">
        <v>588</v>
      </c>
    </row>
    <row r="4747" spans="3:3">
      <c r="C4747" t="s">
        <v>45</v>
      </c>
    </row>
    <row r="4748" spans="3:3">
      <c r="C4748" t="s">
        <v>3228</v>
      </c>
    </row>
    <row r="4749" spans="3:3">
      <c r="C4749" t="s">
        <v>3229</v>
      </c>
    </row>
    <row r="4750" spans="3:3">
      <c r="C4750" t="s">
        <v>3230</v>
      </c>
    </row>
    <row r="4751" spans="3:3">
      <c r="C4751" t="s">
        <v>3247</v>
      </c>
    </row>
    <row r="4752" spans="3:3">
      <c r="C4752" t="s">
        <v>80</v>
      </c>
    </row>
    <row r="4753" spans="3:3">
      <c r="C4753" t="s">
        <v>3231</v>
      </c>
    </row>
    <row r="4754" spans="3:3">
      <c r="C4754" t="s">
        <v>3232</v>
      </c>
    </row>
    <row r="4755" spans="3:3">
      <c r="C4755" t="s">
        <v>3233</v>
      </c>
    </row>
    <row r="4756" spans="3:3">
      <c r="C4756" t="s">
        <v>3248</v>
      </c>
    </row>
    <row r="4757" spans="3:3">
      <c r="C4757" t="s">
        <v>3249</v>
      </c>
    </row>
    <row r="4758" spans="3:3">
      <c r="C4758" t="s">
        <v>589</v>
      </c>
    </row>
    <row r="4759" spans="3:3">
      <c r="C4759" t="s">
        <v>588</v>
      </c>
    </row>
    <row r="4760" spans="3:3">
      <c r="C4760" t="s">
        <v>45</v>
      </c>
    </row>
    <row r="4761" spans="3:3">
      <c r="C4761" t="s">
        <v>3228</v>
      </c>
    </row>
    <row r="4762" spans="3:3">
      <c r="C4762" t="s">
        <v>3229</v>
      </c>
    </row>
    <row r="4763" spans="3:3">
      <c r="C4763" t="s">
        <v>3230</v>
      </c>
    </row>
    <row r="4764" spans="3:3">
      <c r="C4764" t="s">
        <v>3247</v>
      </c>
    </row>
    <row r="4765" spans="3:3">
      <c r="C4765" t="s">
        <v>80</v>
      </c>
    </row>
    <row r="4766" spans="3:3">
      <c r="C4766" t="s">
        <v>3231</v>
      </c>
    </row>
    <row r="4767" spans="3:3">
      <c r="C4767" t="s">
        <v>3232</v>
      </c>
    </row>
    <row r="4768" spans="3:3">
      <c r="C4768" t="s">
        <v>3233</v>
      </c>
    </row>
    <row r="4769" spans="3:3">
      <c r="C4769" t="s">
        <v>3248</v>
      </c>
    </row>
    <row r="4770" spans="3:3">
      <c r="C4770" t="s">
        <v>3236</v>
      </c>
    </row>
    <row r="4771" spans="3:3">
      <c r="C4771" t="s">
        <v>344</v>
      </c>
    </row>
    <row r="4772" spans="3:3">
      <c r="C4772">
        <v>6.1</v>
      </c>
    </row>
    <row r="4773" spans="3:3">
      <c r="C4773" t="s">
        <v>3250</v>
      </c>
    </row>
    <row r="4774" spans="3:3">
      <c r="C4774" t="s">
        <v>2</v>
      </c>
    </row>
    <row r="4775" spans="3:3">
      <c r="C4775" t="s">
        <v>2155</v>
      </c>
    </row>
    <row r="4776" spans="3:3">
      <c r="C4776" t="s">
        <v>2</v>
      </c>
    </row>
    <row r="4777" spans="3:3">
      <c r="C4777" t="s">
        <v>1128</v>
      </c>
    </row>
    <row r="4778" spans="3:3">
      <c r="C4778" t="s">
        <v>14</v>
      </c>
    </row>
    <row r="4779" spans="3:3">
      <c r="C4779">
        <v>9.4</v>
      </c>
    </row>
    <row r="4780" spans="3:3">
      <c r="C4780" t="s">
        <v>2</v>
      </c>
    </row>
    <row r="4781" spans="3:3">
      <c r="C4781" t="s">
        <v>145</v>
      </c>
    </row>
    <row r="4782" spans="3:3">
      <c r="C4782" t="s">
        <v>63</v>
      </c>
    </row>
    <row r="4783" spans="3:3">
      <c r="C4783" t="s">
        <v>2</v>
      </c>
    </row>
    <row r="4784" spans="3:3">
      <c r="C4784" t="s">
        <v>24</v>
      </c>
    </row>
    <row r="4785" spans="3:3">
      <c r="C4785" t="s">
        <v>1454</v>
      </c>
    </row>
    <row r="4786" spans="3:3">
      <c r="C4786">
        <v>7.5</v>
      </c>
    </row>
    <row r="4787" spans="3:3">
      <c r="C4787" t="s">
        <v>2</v>
      </c>
    </row>
    <row r="4788" spans="3:3">
      <c r="C4788" t="s">
        <v>759</v>
      </c>
    </row>
    <row r="4789" spans="3:3">
      <c r="C4789" t="s">
        <v>2</v>
      </c>
    </row>
    <row r="4790" spans="3:3">
      <c r="C4790" t="s">
        <v>2</v>
      </c>
    </row>
    <row r="4791" spans="3:3">
      <c r="C4791" t="s">
        <v>759</v>
      </c>
    </row>
    <row r="4792" spans="3:3">
      <c r="C4792" t="s">
        <v>1455</v>
      </c>
    </row>
    <row r="4793" spans="3:3">
      <c r="C4793">
        <v>7.5</v>
      </c>
    </row>
    <row r="4794" spans="3:3">
      <c r="C4794" t="s">
        <v>3251</v>
      </c>
    </row>
    <row r="4795" spans="3:3">
      <c r="C4795" t="s">
        <v>2</v>
      </c>
    </row>
    <row r="4796" spans="3:3">
      <c r="C4796" t="s">
        <v>2</v>
      </c>
    </row>
    <row r="4797" spans="3:3">
      <c r="C4797" t="s">
        <v>2</v>
      </c>
    </row>
    <row r="4798" spans="3:3">
      <c r="C4798" t="s">
        <v>3251</v>
      </c>
    </row>
    <row r="4799" spans="3:3">
      <c r="C4799" t="s">
        <v>1456</v>
      </c>
    </row>
    <row r="4800" spans="3:3">
      <c r="C4800">
        <v>7.5</v>
      </c>
    </row>
    <row r="4801" spans="3:3">
      <c r="C4801" t="s">
        <v>3252</v>
      </c>
    </row>
    <row r="4802" spans="3:3">
      <c r="C4802" t="s">
        <v>2</v>
      </c>
    </row>
    <row r="4803" spans="3:3">
      <c r="C4803" t="s">
        <v>2</v>
      </c>
    </row>
    <row r="4804" spans="3:3">
      <c r="C4804" t="s">
        <v>2</v>
      </c>
    </row>
    <row r="4805" spans="3:3">
      <c r="C4805" t="s">
        <v>3252</v>
      </c>
    </row>
    <row r="4806" spans="3:3">
      <c r="C4806" t="s">
        <v>347</v>
      </c>
    </row>
    <row r="4807" spans="3:3">
      <c r="C4807">
        <v>6.2</v>
      </c>
    </row>
    <row r="4808" spans="3:3">
      <c r="C4808" t="s">
        <v>2</v>
      </c>
    </row>
    <row r="4809" spans="3:3">
      <c r="C4809" t="s">
        <v>2</v>
      </c>
    </row>
    <row r="4810" spans="3:3">
      <c r="C4810" t="s">
        <v>2</v>
      </c>
    </row>
    <row r="4811" spans="3:3">
      <c r="C4811" t="s">
        <v>1146</v>
      </c>
    </row>
    <row r="4812" spans="3:3">
      <c r="C4812" t="s">
        <v>1146</v>
      </c>
    </row>
    <row r="4813" spans="3:3">
      <c r="C4813" t="s">
        <v>594</v>
      </c>
    </row>
    <row r="4814" spans="3:3">
      <c r="C4814">
        <v>7.13</v>
      </c>
    </row>
    <row r="4815" spans="3:3">
      <c r="C4815" t="s">
        <v>3253</v>
      </c>
    </row>
    <row r="4816" spans="3:3">
      <c r="C4816" t="s">
        <v>2</v>
      </c>
    </row>
    <row r="4817" spans="3:3">
      <c r="C4817" t="s">
        <v>2</v>
      </c>
    </row>
    <row r="4818" spans="3:3">
      <c r="C4818" t="s">
        <v>2</v>
      </c>
    </row>
    <row r="4819" spans="3:3">
      <c r="C4819" t="s">
        <v>3253</v>
      </c>
    </row>
    <row r="4820" spans="3:3">
      <c r="C4820" t="s">
        <v>83</v>
      </c>
    </row>
    <row r="4821" spans="3:3">
      <c r="C4821" t="s">
        <v>3254</v>
      </c>
    </row>
    <row r="4822" spans="3:3">
      <c r="C4822" t="s">
        <v>1230</v>
      </c>
    </row>
    <row r="4823" spans="3:3">
      <c r="C4823" t="s">
        <v>3255</v>
      </c>
    </row>
    <row r="4824" spans="3:3">
      <c r="C4824" t="s">
        <v>1146</v>
      </c>
    </row>
    <row r="4825" spans="3:3">
      <c r="C4825" t="s">
        <v>3256</v>
      </c>
    </row>
    <row r="4826" spans="3:3">
      <c r="C4826" t="s">
        <v>3257</v>
      </c>
    </row>
    <row r="4827" spans="3:3">
      <c r="C4827" t="s">
        <v>1457</v>
      </c>
    </row>
    <row r="4828" spans="3:3">
      <c r="C4828" t="s">
        <v>595</v>
      </c>
    </row>
    <row r="4829" spans="3:3">
      <c r="C4829" t="s">
        <v>3258</v>
      </c>
    </row>
    <row r="4830" spans="3:3">
      <c r="C4830" t="s">
        <v>1458</v>
      </c>
    </row>
    <row r="4831" spans="3:3">
      <c r="C4831" t="s">
        <v>784</v>
      </c>
    </row>
    <row r="4832" spans="3:3">
      <c r="C4832" t="s">
        <v>813</v>
      </c>
    </row>
    <row r="4833" spans="3:3">
      <c r="C4833" t="s">
        <v>814</v>
      </c>
    </row>
    <row r="4834" spans="3:3">
      <c r="C4834" t="s">
        <v>319</v>
      </c>
    </row>
    <row r="4835" spans="3:3">
      <c r="C4835" t="s">
        <v>320</v>
      </c>
    </row>
    <row r="4836" spans="3:3">
      <c r="C4836">
        <v>91</v>
      </c>
    </row>
    <row r="4837" spans="3:3">
      <c r="C4837" t="s">
        <v>829</v>
      </c>
    </row>
    <row r="4838" spans="3:3">
      <c r="C4838" t="s">
        <v>458</v>
      </c>
    </row>
    <row r="4839" spans="3:3">
      <c r="C4839" t="s">
        <v>785</v>
      </c>
    </row>
    <row r="4840" spans="3:3">
      <c r="C4840" t="s">
        <v>786</v>
      </c>
    </row>
    <row r="4841" spans="3:3">
      <c r="C4841" t="s">
        <v>1459</v>
      </c>
    </row>
    <row r="4842" spans="3:3">
      <c r="C4842" t="s">
        <v>1460</v>
      </c>
    </row>
    <row r="4843" spans="3:3">
      <c r="C4843" t="s">
        <v>1461</v>
      </c>
    </row>
    <row r="4844" spans="3:3">
      <c r="C4844" t="s">
        <v>1462</v>
      </c>
    </row>
    <row r="4845" spans="3:3">
      <c r="C4845" t="s">
        <v>1463</v>
      </c>
    </row>
    <row r="4846" spans="3:3">
      <c r="C4846" t="s">
        <v>1464</v>
      </c>
    </row>
    <row r="4847" spans="3:3">
      <c r="C4847" t="s">
        <v>1465</v>
      </c>
    </row>
    <row r="4848" spans="3:3">
      <c r="C4848" t="s">
        <v>1466</v>
      </c>
    </row>
    <row r="4849" spans="3:3">
      <c r="C4849" t="s">
        <v>1467</v>
      </c>
    </row>
    <row r="4850" spans="3:3">
      <c r="C4850" t="s">
        <v>1468</v>
      </c>
    </row>
    <row r="4851" spans="3:3">
      <c r="C4851" t="s">
        <v>1469</v>
      </c>
    </row>
    <row r="4852" spans="3:3">
      <c r="C4852" t="s">
        <v>1470</v>
      </c>
    </row>
    <row r="4853" spans="3:3">
      <c r="C4853" t="s">
        <v>1471</v>
      </c>
    </row>
    <row r="4854" spans="3:3">
      <c r="C4854" t="s">
        <v>1472</v>
      </c>
    </row>
    <row r="4855" spans="3:3">
      <c r="C4855" t="s">
        <v>1473</v>
      </c>
    </row>
    <row r="4856" spans="3:3">
      <c r="C4856" t="s">
        <v>596</v>
      </c>
    </row>
    <row r="4857" spans="3:3">
      <c r="C4857" t="s">
        <v>787</v>
      </c>
    </row>
    <row r="4858" spans="3:3">
      <c r="C4858" t="s">
        <v>788</v>
      </c>
    </row>
    <row r="4859" spans="3:3">
      <c r="C4859" t="s">
        <v>789</v>
      </c>
    </row>
    <row r="4860" spans="3:3">
      <c r="C4860" t="s">
        <v>597</v>
      </c>
    </row>
    <row r="4861" spans="3:3">
      <c r="C4861" t="s">
        <v>790</v>
      </c>
    </row>
    <row r="4862" spans="3:3">
      <c r="C4862" t="s">
        <v>791</v>
      </c>
    </row>
    <row r="4863" spans="3:3">
      <c r="C4863" t="s">
        <v>792</v>
      </c>
    </row>
    <row r="4864" spans="3:3">
      <c r="C4864" t="s">
        <v>598</v>
      </c>
    </row>
    <row r="4865" spans="3:3">
      <c r="C4865" t="s">
        <v>3259</v>
      </c>
    </row>
    <row r="4866" spans="3:3">
      <c r="C4866" t="s">
        <v>813</v>
      </c>
    </row>
    <row r="4867" spans="3:3">
      <c r="C4867" t="s">
        <v>814</v>
      </c>
    </row>
    <row r="4868" spans="3:3">
      <c r="C4868" t="s">
        <v>319</v>
      </c>
    </row>
    <row r="4869" spans="3:3">
      <c r="C4869" t="s">
        <v>320</v>
      </c>
    </row>
    <row r="4870" spans="3:3">
      <c r="C4870">
        <v>92</v>
      </c>
    </row>
    <row r="4871" spans="3:3">
      <c r="C4871" t="s">
        <v>829</v>
      </c>
    </row>
    <row r="4872" spans="3:3">
      <c r="C4872" t="s">
        <v>599</v>
      </c>
    </row>
    <row r="4873" spans="3:3">
      <c r="C4873" t="s">
        <v>2876</v>
      </c>
    </row>
    <row r="4874" spans="3:3">
      <c r="C4874" t="s">
        <v>1474</v>
      </c>
    </row>
    <row r="4875" spans="3:3">
      <c r="C4875" t="s">
        <v>1475</v>
      </c>
    </row>
    <row r="4876" spans="3:3">
      <c r="C4876" t="s">
        <v>1476</v>
      </c>
    </row>
    <row r="4877" spans="3:3">
      <c r="C4877" t="s">
        <v>1477</v>
      </c>
    </row>
    <row r="4878" spans="3:3">
      <c r="C4878" t="s">
        <v>3260</v>
      </c>
    </row>
    <row r="4879" spans="3:3">
      <c r="C4879" t="s">
        <v>3261</v>
      </c>
    </row>
    <row r="4880" spans="3:3">
      <c r="C4880" t="s">
        <v>3261</v>
      </c>
    </row>
    <row r="4881" spans="3:3">
      <c r="C4881" t="s">
        <v>3262</v>
      </c>
    </row>
    <row r="4882" spans="3:3">
      <c r="C4882" t="s">
        <v>3262</v>
      </c>
    </row>
    <row r="4883" spans="3:3">
      <c r="C4883" t="s">
        <v>3263</v>
      </c>
    </row>
    <row r="4884" spans="3:3">
      <c r="C4884" t="s">
        <v>2</v>
      </c>
    </row>
    <row r="4885" spans="3:3">
      <c r="C4885" t="s">
        <v>2</v>
      </c>
    </row>
    <row r="4886" spans="3:3">
      <c r="C4886" t="s">
        <v>3237</v>
      </c>
    </row>
    <row r="4887" spans="3:3">
      <c r="C4887" t="s">
        <v>3237</v>
      </c>
    </row>
    <row r="4888" spans="3:3">
      <c r="C4888" t="s">
        <v>3264</v>
      </c>
    </row>
    <row r="4889" spans="3:3">
      <c r="C4889" t="s">
        <v>2</v>
      </c>
    </row>
    <row r="4890" spans="3:3">
      <c r="C4890" t="s">
        <v>2</v>
      </c>
    </row>
    <row r="4891" spans="3:3">
      <c r="C4891" t="s">
        <v>1252</v>
      </c>
    </row>
    <row r="4892" spans="3:3">
      <c r="C4892" t="s">
        <v>1252</v>
      </c>
    </row>
    <row r="4893" spans="3:3">
      <c r="C4893" t="s">
        <v>3265</v>
      </c>
    </row>
    <row r="4894" spans="3:3">
      <c r="C4894" t="s">
        <v>2</v>
      </c>
    </row>
    <row r="4895" spans="3:3">
      <c r="C4895" t="s">
        <v>2</v>
      </c>
    </row>
    <row r="4896" spans="3:3">
      <c r="C4896" t="s">
        <v>15</v>
      </c>
    </row>
    <row r="4897" spans="3:3">
      <c r="C4897" t="s">
        <v>15</v>
      </c>
    </row>
    <row r="4898" spans="3:3">
      <c r="C4898" t="s">
        <v>3266</v>
      </c>
    </row>
    <row r="4899" spans="3:3">
      <c r="C4899" t="s">
        <v>2</v>
      </c>
    </row>
    <row r="4900" spans="3:3">
      <c r="C4900" t="s">
        <v>2</v>
      </c>
    </row>
    <row r="4901" spans="3:3">
      <c r="C4901" t="s">
        <v>1293</v>
      </c>
    </row>
    <row r="4902" spans="3:3">
      <c r="C4902" t="s">
        <v>1293</v>
      </c>
    </row>
    <row r="4903" spans="3:3">
      <c r="C4903" t="s">
        <v>571</v>
      </c>
    </row>
    <row r="4904" spans="3:3">
      <c r="C4904" t="s">
        <v>1478</v>
      </c>
    </row>
    <row r="4905" spans="3:3">
      <c r="C4905" t="s">
        <v>3267</v>
      </c>
    </row>
    <row r="4906" spans="3:3">
      <c r="C4906" t="s">
        <v>2</v>
      </c>
    </row>
    <row r="4907" spans="3:3">
      <c r="C4907" t="s">
        <v>2</v>
      </c>
    </row>
    <row r="4908" spans="3:3">
      <c r="C4908" t="s">
        <v>759</v>
      </c>
    </row>
    <row r="4909" spans="3:3">
      <c r="C4909" t="s">
        <v>759</v>
      </c>
    </row>
    <row r="4910" spans="3:3">
      <c r="C4910" t="s">
        <v>3268</v>
      </c>
    </row>
    <row r="4911" spans="3:3">
      <c r="C4911" t="s">
        <v>2</v>
      </c>
    </row>
    <row r="4912" spans="3:3">
      <c r="C4912" t="s">
        <v>2</v>
      </c>
    </row>
    <row r="4913" spans="3:3">
      <c r="C4913" t="s">
        <v>24</v>
      </c>
    </row>
    <row r="4914" spans="3:3">
      <c r="C4914" t="s">
        <v>24</v>
      </c>
    </row>
    <row r="4915" spans="3:3">
      <c r="C4915" t="s">
        <v>3269</v>
      </c>
    </row>
    <row r="4916" spans="3:3">
      <c r="C4916" t="s">
        <v>2</v>
      </c>
    </row>
    <row r="4917" spans="3:3">
      <c r="C4917" t="s">
        <v>2</v>
      </c>
    </row>
    <row r="4918" spans="3:3">
      <c r="C4918" t="s">
        <v>63</v>
      </c>
    </row>
    <row r="4919" spans="3:3">
      <c r="C4919" t="s">
        <v>63</v>
      </c>
    </row>
    <row r="4920" spans="3:3">
      <c r="C4920" t="s">
        <v>3270</v>
      </c>
    </row>
    <row r="4921" spans="3:3">
      <c r="C4921" t="s">
        <v>2</v>
      </c>
    </row>
    <row r="4922" spans="3:3">
      <c r="C4922" t="s">
        <v>2</v>
      </c>
    </row>
    <row r="4923" spans="3:3">
      <c r="C4923" t="s">
        <v>1128</v>
      </c>
    </row>
    <row r="4924" spans="3:3">
      <c r="C4924" t="s">
        <v>3271</v>
      </c>
    </row>
    <row r="4925" spans="3:3">
      <c r="C4925" t="s">
        <v>1479</v>
      </c>
    </row>
    <row r="4926" spans="3:3">
      <c r="C4926" t="s">
        <v>1480</v>
      </c>
    </row>
    <row r="4927" spans="3:3">
      <c r="C4927" t="s">
        <v>3272</v>
      </c>
    </row>
    <row r="4928" spans="3:3">
      <c r="C4928" t="s">
        <v>3273</v>
      </c>
    </row>
    <row r="4929" spans="3:3">
      <c r="C4929" t="s">
        <v>3274</v>
      </c>
    </row>
    <row r="4930" spans="3:3">
      <c r="C4930" t="s">
        <v>813</v>
      </c>
    </row>
    <row r="4931" spans="3:3">
      <c r="C4931" t="s">
        <v>814</v>
      </c>
    </row>
    <row r="4932" spans="3:3">
      <c r="C4932" t="s">
        <v>319</v>
      </c>
    </row>
    <row r="4933" spans="3:3">
      <c r="C4933" t="s">
        <v>320</v>
      </c>
    </row>
    <row r="4934" spans="3:3">
      <c r="C4934">
        <v>93</v>
      </c>
    </row>
    <row r="4935" spans="3:3">
      <c r="C4935" t="s">
        <v>829</v>
      </c>
    </row>
    <row r="4936" spans="3:3">
      <c r="C4936" t="s">
        <v>1481</v>
      </c>
    </row>
    <row r="4937" spans="3:3">
      <c r="C4937" t="s">
        <v>3275</v>
      </c>
    </row>
    <row r="4938" spans="3:3">
      <c r="C4938" t="s">
        <v>3275</v>
      </c>
    </row>
    <row r="4939" spans="3:3">
      <c r="C4939" t="s">
        <v>3276</v>
      </c>
    </row>
    <row r="4940" spans="3:3">
      <c r="C4940" t="s">
        <v>3276</v>
      </c>
    </row>
    <row r="4941" spans="3:3">
      <c r="C4941" t="s">
        <v>3230</v>
      </c>
    </row>
    <row r="4942" spans="3:3">
      <c r="C4942" t="s">
        <v>3247</v>
      </c>
    </row>
    <row r="4943" spans="3:3">
      <c r="C4943" t="s">
        <v>45</v>
      </c>
    </row>
    <row r="4944" spans="3:3">
      <c r="C4944" t="s">
        <v>3277</v>
      </c>
    </row>
    <row r="4945" spans="3:3">
      <c r="C4945" t="s">
        <v>3278</v>
      </c>
    </row>
    <row r="4946" spans="3:3">
      <c r="C4946" t="s">
        <v>3233</v>
      </c>
    </row>
    <row r="4947" spans="3:3">
      <c r="C4947" t="s">
        <v>3248</v>
      </c>
    </row>
    <row r="4948" spans="3:3">
      <c r="C4948" t="s">
        <v>80</v>
      </c>
    </row>
    <row r="4949" spans="3:3">
      <c r="C4949" t="s">
        <v>3279</v>
      </c>
    </row>
    <row r="4950" spans="3:3">
      <c r="C4950" t="s">
        <v>3280</v>
      </c>
    </row>
    <row r="4951" spans="3:3">
      <c r="C4951" t="s">
        <v>3281</v>
      </c>
    </row>
    <row r="4952" spans="3:3">
      <c r="C4952" t="s">
        <v>3282</v>
      </c>
    </row>
    <row r="4953" spans="3:3">
      <c r="C4953" t="s">
        <v>813</v>
      </c>
    </row>
    <row r="4954" spans="3:3">
      <c r="C4954" t="s">
        <v>814</v>
      </c>
    </row>
    <row r="4955" spans="3:3">
      <c r="C4955" t="s">
        <v>319</v>
      </c>
    </row>
    <row r="4956" spans="3:3">
      <c r="C4956" t="s">
        <v>320</v>
      </c>
    </row>
    <row r="4957" spans="3:3">
      <c r="C4957">
        <v>94</v>
      </c>
    </row>
    <row r="4958" spans="3:3">
      <c r="C4958" t="s">
        <v>829</v>
      </c>
    </row>
    <row r="4959" spans="3:3">
      <c r="C4959" t="s">
        <v>3275</v>
      </c>
    </row>
    <row r="4960" spans="3:3">
      <c r="C4960" t="s">
        <v>3275</v>
      </c>
    </row>
    <row r="4961" spans="3:3">
      <c r="C4961" t="s">
        <v>3276</v>
      </c>
    </row>
    <row r="4962" spans="3:3">
      <c r="C4962" t="s">
        <v>3276</v>
      </c>
    </row>
    <row r="4963" spans="3:3">
      <c r="C4963" t="s">
        <v>3230</v>
      </c>
    </row>
    <row r="4964" spans="3:3">
      <c r="C4964" t="s">
        <v>3247</v>
      </c>
    </row>
    <row r="4965" spans="3:3">
      <c r="C4965" t="s">
        <v>45</v>
      </c>
    </row>
    <row r="4966" spans="3:3">
      <c r="C4966" t="s">
        <v>3277</v>
      </c>
    </row>
    <row r="4967" spans="3:3">
      <c r="C4967" t="s">
        <v>3278</v>
      </c>
    </row>
    <row r="4968" spans="3:3">
      <c r="C4968" t="s">
        <v>3233</v>
      </c>
    </row>
    <row r="4969" spans="3:3">
      <c r="C4969" t="s">
        <v>3248</v>
      </c>
    </row>
    <row r="4970" spans="3:3">
      <c r="C4970" t="s">
        <v>80</v>
      </c>
    </row>
    <row r="4971" spans="3:3">
      <c r="C4971" t="s">
        <v>3279</v>
      </c>
    </row>
    <row r="4972" spans="3:3">
      <c r="C4972" t="s">
        <v>3280</v>
      </c>
    </row>
    <row r="4973" spans="3:3">
      <c r="C4973" t="s">
        <v>3281</v>
      </c>
    </row>
    <row r="4974" spans="3:3">
      <c r="C4974" t="s">
        <v>3283</v>
      </c>
    </row>
    <row r="4975" spans="3:3">
      <c r="C4975" t="s">
        <v>813</v>
      </c>
    </row>
    <row r="4976" spans="3:3">
      <c r="C4976" t="s">
        <v>814</v>
      </c>
    </row>
    <row r="4977" spans="3:3">
      <c r="C4977" t="s">
        <v>319</v>
      </c>
    </row>
    <row r="4978" spans="3:3">
      <c r="C4978" t="s">
        <v>320</v>
      </c>
    </row>
    <row r="4979" spans="3:3">
      <c r="C4979">
        <v>95</v>
      </c>
    </row>
    <row r="4980" spans="3:3">
      <c r="C4980" t="s">
        <v>829</v>
      </c>
    </row>
    <row r="4981" spans="3:3">
      <c r="C4981" t="s">
        <v>1482</v>
      </c>
    </row>
    <row r="4982" spans="3:3">
      <c r="C4982" t="s">
        <v>237</v>
      </c>
    </row>
    <row r="4983" spans="3:3">
      <c r="C4983" t="s">
        <v>1483</v>
      </c>
    </row>
    <row r="4984" spans="3:3">
      <c r="C4984" t="s">
        <v>1484</v>
      </c>
    </row>
    <row r="4985" spans="3:3">
      <c r="C4985" t="s">
        <v>1485</v>
      </c>
    </row>
    <row r="4986" spans="3:3">
      <c r="C4986" t="s">
        <v>600</v>
      </c>
    </row>
    <row r="4987" spans="3:3">
      <c r="C4987" t="s">
        <v>1486</v>
      </c>
    </row>
    <row r="4988" spans="3:3">
      <c r="C4988" t="s">
        <v>601</v>
      </c>
    </row>
    <row r="4989" spans="3:3">
      <c r="C4989" t="s">
        <v>1487</v>
      </c>
    </row>
    <row r="4990" spans="3:3">
      <c r="C4990" t="s">
        <v>1488</v>
      </c>
    </row>
    <row r="4991" spans="3:3">
      <c r="C4991" t="s">
        <v>458</v>
      </c>
    </row>
    <row r="4992" spans="3:3">
      <c r="C4992" t="s">
        <v>602</v>
      </c>
    </row>
    <row r="4993" spans="3:3">
      <c r="C4993" t="s">
        <v>603</v>
      </c>
    </row>
    <row r="4994" spans="3:3">
      <c r="C4994" t="s">
        <v>1489</v>
      </c>
    </row>
    <row r="4995" spans="3:3">
      <c r="C4995" t="s">
        <v>813</v>
      </c>
    </row>
    <row r="4996" spans="3:3">
      <c r="C4996" t="s">
        <v>814</v>
      </c>
    </row>
    <row r="4997" spans="3:3">
      <c r="C4997" t="s">
        <v>319</v>
      </c>
    </row>
    <row r="4998" spans="3:3">
      <c r="C4998" t="s">
        <v>320</v>
      </c>
    </row>
    <row r="4999" spans="3:3">
      <c r="C4999">
        <v>96</v>
      </c>
    </row>
    <row r="5000" spans="3:3">
      <c r="C5000" t="s">
        <v>829</v>
      </c>
    </row>
    <row r="5001" spans="3:3">
      <c r="C5001" t="s">
        <v>238</v>
      </c>
    </row>
    <row r="5002" spans="3:3">
      <c r="C5002" t="s">
        <v>78</v>
      </c>
    </row>
    <row r="5003" spans="3:3">
      <c r="C5003" t="s">
        <v>10</v>
      </c>
    </row>
    <row r="5004" spans="3:3">
      <c r="C5004" t="s">
        <v>607</v>
      </c>
    </row>
    <row r="5005" spans="3:3">
      <c r="C5005" t="s">
        <v>604</v>
      </c>
    </row>
    <row r="5006" spans="3:3">
      <c r="C5006" t="s">
        <v>605</v>
      </c>
    </row>
    <row r="5007" spans="3:3">
      <c r="C5007" t="s">
        <v>80</v>
      </c>
    </row>
    <row r="5008" spans="3:3">
      <c r="C5008" t="s">
        <v>239</v>
      </c>
    </row>
    <row r="5009" spans="3:3">
      <c r="C5009" t="s">
        <v>3284</v>
      </c>
    </row>
    <row r="5010" spans="3:3">
      <c r="C5010" t="s">
        <v>240</v>
      </c>
    </row>
    <row r="5011" spans="3:3">
      <c r="C5011" t="s">
        <v>56</v>
      </c>
    </row>
    <row r="5012" spans="3:3">
      <c r="C5012" t="s">
        <v>1059</v>
      </c>
    </row>
    <row r="5013" spans="3:3">
      <c r="C5013" t="s">
        <v>241</v>
      </c>
    </row>
    <row r="5014" spans="3:3">
      <c r="C5014" t="s">
        <v>3285</v>
      </c>
    </row>
    <row r="5015" spans="3:3">
      <c r="C5015" t="s">
        <v>242</v>
      </c>
    </row>
    <row r="5016" spans="3:3">
      <c r="C5016" t="s">
        <v>243</v>
      </c>
    </row>
    <row r="5017" spans="3:3">
      <c r="C5017" t="s">
        <v>3286</v>
      </c>
    </row>
    <row r="5018" spans="3:3">
      <c r="C5018" t="s">
        <v>49</v>
      </c>
    </row>
    <row r="5019" spans="3:3">
      <c r="C5019" t="s">
        <v>2</v>
      </c>
    </row>
    <row r="5020" spans="3:3">
      <c r="C5020" t="s">
        <v>49</v>
      </c>
    </row>
    <row r="5021" spans="3:3">
      <c r="C5021" t="s">
        <v>3287</v>
      </c>
    </row>
    <row r="5022" spans="3:3">
      <c r="C5022" t="s">
        <v>1293</v>
      </c>
    </row>
    <row r="5023" spans="3:3">
      <c r="C5023" t="s">
        <v>66</v>
      </c>
    </row>
    <row r="5024" spans="3:3">
      <c r="C5024" t="s">
        <v>15</v>
      </c>
    </row>
    <row r="5025" spans="3:3">
      <c r="C5025" t="s">
        <v>3288</v>
      </c>
    </row>
    <row r="5026" spans="3:3">
      <c r="C5026" t="s">
        <v>606</v>
      </c>
    </row>
    <row r="5027" spans="3:3">
      <c r="C5027" t="s">
        <v>78</v>
      </c>
    </row>
    <row r="5028" spans="3:3">
      <c r="C5028" t="s">
        <v>10</v>
      </c>
    </row>
    <row r="5029" spans="3:3">
      <c r="C5029" t="s">
        <v>607</v>
      </c>
    </row>
    <row r="5030" spans="3:3">
      <c r="C5030" t="s">
        <v>604</v>
      </c>
    </row>
    <row r="5031" spans="3:3">
      <c r="C5031" t="s">
        <v>605</v>
      </c>
    </row>
    <row r="5032" spans="3:3">
      <c r="C5032" t="s">
        <v>80</v>
      </c>
    </row>
    <row r="5033" spans="3:3">
      <c r="C5033" t="s">
        <v>239</v>
      </c>
    </row>
    <row r="5034" spans="3:3">
      <c r="C5034" t="s">
        <v>3289</v>
      </c>
    </row>
    <row r="5035" spans="3:3">
      <c r="C5035" t="s">
        <v>2</v>
      </c>
    </row>
    <row r="5036" spans="3:3">
      <c r="C5036" t="s">
        <v>145</v>
      </c>
    </row>
    <row r="5037" spans="3:3">
      <c r="C5037" t="s">
        <v>145</v>
      </c>
    </row>
    <row r="5038" spans="3:3">
      <c r="C5038" t="s">
        <v>3290</v>
      </c>
    </row>
    <row r="5039" spans="3:3">
      <c r="C5039" t="s">
        <v>2</v>
      </c>
    </row>
    <row r="5040" spans="3:3">
      <c r="C5040" t="s">
        <v>2</v>
      </c>
    </row>
    <row r="5041" spans="3:3">
      <c r="C5041" t="s">
        <v>2</v>
      </c>
    </row>
    <row r="5042" spans="3:3">
      <c r="C5042" t="s">
        <v>3291</v>
      </c>
    </row>
    <row r="5043" spans="3:3">
      <c r="C5043" t="s">
        <v>63</v>
      </c>
    </row>
    <row r="5044" spans="3:3">
      <c r="C5044" t="s">
        <v>2</v>
      </c>
    </row>
    <row r="5045" spans="3:3">
      <c r="C5045" t="s">
        <v>63</v>
      </c>
    </row>
    <row r="5046" spans="3:3">
      <c r="C5046" t="s">
        <v>3292</v>
      </c>
    </row>
    <row r="5047" spans="3:3">
      <c r="C5047" t="s">
        <v>63</v>
      </c>
    </row>
    <row r="5048" spans="3:3">
      <c r="C5048" t="s">
        <v>145</v>
      </c>
    </row>
    <row r="5049" spans="3:3">
      <c r="C5049" t="s">
        <v>24</v>
      </c>
    </row>
    <row r="5050" spans="3:3">
      <c r="C5050" t="s">
        <v>3293</v>
      </c>
    </row>
    <row r="5051" spans="3:3">
      <c r="C5051" t="s">
        <v>63</v>
      </c>
    </row>
    <row r="5052" spans="3:3">
      <c r="C5052" t="s">
        <v>145</v>
      </c>
    </row>
    <row r="5053" spans="3:3">
      <c r="C5053" t="s">
        <v>24</v>
      </c>
    </row>
    <row r="5054" spans="3:3">
      <c r="C5054" t="s">
        <v>608</v>
      </c>
    </row>
    <row r="5055" spans="3:3">
      <c r="C5055" t="s">
        <v>244</v>
      </c>
    </row>
    <row r="5056" spans="3:3">
      <c r="C5056" t="s">
        <v>3294</v>
      </c>
    </row>
    <row r="5057" spans="3:3">
      <c r="C5057" t="s">
        <v>3295</v>
      </c>
    </row>
    <row r="5058" spans="3:3">
      <c r="C5058" t="s">
        <v>604</v>
      </c>
    </row>
    <row r="5059" spans="3:3">
      <c r="C5059" t="s">
        <v>605</v>
      </c>
    </row>
    <row r="5060" spans="3:3">
      <c r="C5060" t="s">
        <v>245</v>
      </c>
    </row>
    <row r="5061" spans="3:3">
      <c r="C5061" t="s">
        <v>3296</v>
      </c>
    </row>
    <row r="5062" spans="3:3">
      <c r="C5062" t="s">
        <v>1044</v>
      </c>
    </row>
    <row r="5063" spans="3:3">
      <c r="C5063" t="s">
        <v>1050</v>
      </c>
    </row>
    <row r="5064" spans="3:3">
      <c r="C5064" t="s">
        <v>609</v>
      </c>
    </row>
    <row r="5065" spans="3:3">
      <c r="C5065" t="s">
        <v>3297</v>
      </c>
    </row>
    <row r="5066" spans="3:3">
      <c r="C5066" t="s">
        <v>1044</v>
      </c>
    </row>
    <row r="5067" spans="3:3">
      <c r="C5067" t="s">
        <v>1050</v>
      </c>
    </row>
    <row r="5068" spans="3:3">
      <c r="C5068" t="s">
        <v>245</v>
      </c>
    </row>
    <row r="5069" spans="3:3">
      <c r="C5069" t="s">
        <v>3298</v>
      </c>
    </row>
    <row r="5070" spans="3:3">
      <c r="C5070" t="s">
        <v>3299</v>
      </c>
    </row>
    <row r="5071" spans="3:3">
      <c r="C5071" t="s">
        <v>159</v>
      </c>
    </row>
    <row r="5072" spans="3:3">
      <c r="C5072" t="s">
        <v>609</v>
      </c>
    </row>
    <row r="5073" spans="3:3">
      <c r="C5073" t="s">
        <v>3300</v>
      </c>
    </row>
    <row r="5074" spans="3:3">
      <c r="C5074" t="s">
        <v>3299</v>
      </c>
    </row>
    <row r="5075" spans="3:3">
      <c r="C5075" t="s">
        <v>159</v>
      </c>
    </row>
    <row r="5076" spans="3:3">
      <c r="C5076" t="s">
        <v>610</v>
      </c>
    </row>
    <row r="5077" spans="3:3">
      <c r="C5077" t="s">
        <v>244</v>
      </c>
    </row>
    <row r="5078" spans="3:3">
      <c r="C5078" t="s">
        <v>2876</v>
      </c>
    </row>
    <row r="5079" spans="3:3">
      <c r="C5079" t="s">
        <v>1490</v>
      </c>
    </row>
    <row r="5080" spans="3:3">
      <c r="C5080" t="s">
        <v>246</v>
      </c>
    </row>
    <row r="5081" spans="3:3">
      <c r="C5081" t="s">
        <v>3301</v>
      </c>
    </row>
    <row r="5082" spans="3:3">
      <c r="C5082" t="s">
        <v>609</v>
      </c>
    </row>
    <row r="5083" spans="3:3">
      <c r="C5083" t="s">
        <v>3301</v>
      </c>
    </row>
    <row r="5084" spans="3:3">
      <c r="C5084" t="s">
        <v>813</v>
      </c>
    </row>
    <row r="5085" spans="3:3">
      <c r="C5085" t="s">
        <v>814</v>
      </c>
    </row>
    <row r="5086" spans="3:3">
      <c r="C5086" t="s">
        <v>319</v>
      </c>
    </row>
    <row r="5087" spans="3:3">
      <c r="C5087" t="s">
        <v>320</v>
      </c>
    </row>
    <row r="5088" spans="3:3">
      <c r="C5088">
        <v>97</v>
      </c>
    </row>
    <row r="5089" spans="3:3">
      <c r="C5089" t="s">
        <v>829</v>
      </c>
    </row>
    <row r="5090" spans="3:3">
      <c r="C5090" t="s">
        <v>611</v>
      </c>
    </row>
    <row r="5091" spans="3:3">
      <c r="C5091" t="s">
        <v>612</v>
      </c>
    </row>
    <row r="5092" spans="3:3">
      <c r="C5092" t="s">
        <v>1491</v>
      </c>
    </row>
    <row r="5093" spans="3:3">
      <c r="C5093" t="s">
        <v>613</v>
      </c>
    </row>
    <row r="5094" spans="3:3">
      <c r="C5094" t="s">
        <v>247</v>
      </c>
    </row>
    <row r="5095" spans="3:3">
      <c r="C5095" t="s">
        <v>1492</v>
      </c>
    </row>
    <row r="5096" spans="3:3">
      <c r="C5096" t="s">
        <v>1493</v>
      </c>
    </row>
    <row r="5097" spans="3:3">
      <c r="C5097" t="s">
        <v>248</v>
      </c>
    </row>
    <row r="5098" spans="3:3">
      <c r="C5098" t="s">
        <v>1494</v>
      </c>
    </row>
    <row r="5099" spans="3:3">
      <c r="C5099" t="s">
        <v>614</v>
      </c>
    </row>
    <row r="5100" spans="3:3">
      <c r="C5100" t="s">
        <v>1495</v>
      </c>
    </row>
    <row r="5101" spans="3:3">
      <c r="C5101" t="s">
        <v>1496</v>
      </c>
    </row>
    <row r="5102" spans="3:3">
      <c r="C5102" t="s">
        <v>1497</v>
      </c>
    </row>
    <row r="5103" spans="3:3">
      <c r="C5103" t="s">
        <v>1498</v>
      </c>
    </row>
    <row r="5104" spans="3:3">
      <c r="C5104" t="s">
        <v>1499</v>
      </c>
    </row>
    <row r="5105" spans="3:3">
      <c r="C5105" t="s">
        <v>249</v>
      </c>
    </row>
    <row r="5106" spans="3:3">
      <c r="C5106" t="s">
        <v>3302</v>
      </c>
    </row>
    <row r="5107" spans="3:3">
      <c r="C5107" t="s">
        <v>612</v>
      </c>
    </row>
    <row r="5108" spans="3:3">
      <c r="C5108" t="s">
        <v>1491</v>
      </c>
    </row>
    <row r="5109" spans="3:3">
      <c r="C5109" t="s">
        <v>613</v>
      </c>
    </row>
    <row r="5110" spans="3:3">
      <c r="C5110" t="s">
        <v>247</v>
      </c>
    </row>
    <row r="5111" spans="3:3">
      <c r="C5111" t="s">
        <v>1492</v>
      </c>
    </row>
    <row r="5112" spans="3:3">
      <c r="C5112" t="s">
        <v>1493</v>
      </c>
    </row>
    <row r="5113" spans="3:3">
      <c r="C5113" t="s">
        <v>248</v>
      </c>
    </row>
    <row r="5114" spans="3:3">
      <c r="C5114" t="s">
        <v>1494</v>
      </c>
    </row>
    <row r="5115" spans="3:3">
      <c r="C5115" t="s">
        <v>614</v>
      </c>
    </row>
    <row r="5116" spans="3:3">
      <c r="C5116" t="s">
        <v>1495</v>
      </c>
    </row>
    <row r="5117" spans="3:3">
      <c r="C5117" t="s">
        <v>1496</v>
      </c>
    </row>
    <row r="5118" spans="3:3">
      <c r="C5118" t="s">
        <v>1497</v>
      </c>
    </row>
    <row r="5119" spans="3:3">
      <c r="C5119" t="s">
        <v>1498</v>
      </c>
    </row>
    <row r="5120" spans="3:3">
      <c r="C5120" t="s">
        <v>1499</v>
      </c>
    </row>
    <row r="5121" spans="3:3">
      <c r="C5121" t="s">
        <v>249</v>
      </c>
    </row>
    <row r="5122" spans="3:3">
      <c r="C5122" t="s">
        <v>615</v>
      </c>
    </row>
    <row r="5123" spans="3:3">
      <c r="C5123" t="s">
        <v>3303</v>
      </c>
    </row>
    <row r="5124" spans="3:3">
      <c r="C5124" t="s">
        <v>250</v>
      </c>
    </row>
    <row r="5125" spans="3:3">
      <c r="C5125" t="s">
        <v>616</v>
      </c>
    </row>
    <row r="5126" spans="3:3">
      <c r="C5126" t="s">
        <v>1044</v>
      </c>
    </row>
    <row r="5127" spans="3:3">
      <c r="C5127" t="s">
        <v>240</v>
      </c>
    </row>
    <row r="5128" spans="3:3">
      <c r="C5128" t="s">
        <v>2</v>
      </c>
    </row>
    <row r="5129" spans="3:3">
      <c r="C5129" t="s">
        <v>14</v>
      </c>
    </row>
    <row r="5130" spans="3:3">
      <c r="C5130" t="s">
        <v>213</v>
      </c>
    </row>
    <row r="5131" spans="3:3">
      <c r="C5131" t="s">
        <v>251</v>
      </c>
    </row>
    <row r="5132" spans="3:3">
      <c r="C5132" t="s">
        <v>70</v>
      </c>
    </row>
    <row r="5133" spans="3:3">
      <c r="C5133" t="s">
        <v>3304</v>
      </c>
    </row>
    <row r="5134" spans="3:3">
      <c r="C5134" t="s">
        <v>59</v>
      </c>
    </row>
    <row r="5135" spans="3:3">
      <c r="C5135" t="s">
        <v>323</v>
      </c>
    </row>
    <row r="5136" spans="3:3">
      <c r="C5136" t="s">
        <v>617</v>
      </c>
    </row>
    <row r="5137" spans="3:3">
      <c r="C5137" t="s">
        <v>3299</v>
      </c>
    </row>
    <row r="5138" spans="3:3">
      <c r="C5138" t="s">
        <v>3285</v>
      </c>
    </row>
    <row r="5139" spans="3:3">
      <c r="C5139" t="s">
        <v>2</v>
      </c>
    </row>
    <row r="5140" spans="3:3">
      <c r="C5140" t="s">
        <v>14</v>
      </c>
    </row>
    <row r="5141" spans="3:3">
      <c r="C5141" t="s">
        <v>3305</v>
      </c>
    </row>
    <row r="5142" spans="3:3">
      <c r="C5142" t="s">
        <v>3306</v>
      </c>
    </row>
    <row r="5143" spans="3:3">
      <c r="C5143" t="s">
        <v>132</v>
      </c>
    </row>
    <row r="5144" spans="3:3">
      <c r="C5144" t="s">
        <v>3304</v>
      </c>
    </row>
    <row r="5145" spans="3:3">
      <c r="C5145" t="s">
        <v>869</v>
      </c>
    </row>
    <row r="5146" spans="3:3">
      <c r="C5146" t="s">
        <v>323</v>
      </c>
    </row>
    <row r="5147" spans="3:3">
      <c r="C5147" t="s">
        <v>813</v>
      </c>
    </row>
    <row r="5148" spans="3:3">
      <c r="C5148" t="s">
        <v>814</v>
      </c>
    </row>
    <row r="5149" spans="3:3">
      <c r="C5149" t="s">
        <v>319</v>
      </c>
    </row>
    <row r="5150" spans="3:3">
      <c r="C5150" t="s">
        <v>320</v>
      </c>
    </row>
    <row r="5151" spans="3:3">
      <c r="C5151">
        <v>98</v>
      </c>
    </row>
    <row r="5152" spans="3:3">
      <c r="C5152" t="s">
        <v>829</v>
      </c>
    </row>
    <row r="5153" spans="3:3">
      <c r="C5153" t="s">
        <v>612</v>
      </c>
    </row>
    <row r="5154" spans="3:3">
      <c r="C5154" t="s">
        <v>1491</v>
      </c>
    </row>
    <row r="5155" spans="3:3">
      <c r="C5155" t="s">
        <v>613</v>
      </c>
    </row>
    <row r="5156" spans="3:3">
      <c r="C5156" t="s">
        <v>247</v>
      </c>
    </row>
    <row r="5157" spans="3:3">
      <c r="C5157" t="s">
        <v>1492</v>
      </c>
    </row>
    <row r="5158" spans="3:3">
      <c r="C5158" t="s">
        <v>1493</v>
      </c>
    </row>
    <row r="5159" spans="3:3">
      <c r="C5159" t="s">
        <v>248</v>
      </c>
    </row>
    <row r="5160" spans="3:3">
      <c r="C5160" t="s">
        <v>1494</v>
      </c>
    </row>
    <row r="5161" spans="3:3">
      <c r="C5161" t="s">
        <v>614</v>
      </c>
    </row>
    <row r="5162" spans="3:3">
      <c r="C5162" t="s">
        <v>1495</v>
      </c>
    </row>
    <row r="5163" spans="3:3">
      <c r="C5163" t="s">
        <v>1496</v>
      </c>
    </row>
    <row r="5164" spans="3:3">
      <c r="C5164" t="s">
        <v>1497</v>
      </c>
    </row>
    <row r="5165" spans="3:3">
      <c r="C5165" t="s">
        <v>1498</v>
      </c>
    </row>
    <row r="5166" spans="3:3">
      <c r="C5166" t="s">
        <v>1499</v>
      </c>
    </row>
    <row r="5167" spans="3:3">
      <c r="C5167" t="s">
        <v>249</v>
      </c>
    </row>
    <row r="5168" spans="3:3">
      <c r="C5168" t="s">
        <v>615</v>
      </c>
    </row>
    <row r="5169" spans="3:3">
      <c r="C5169" t="s">
        <v>252</v>
      </c>
    </row>
    <row r="5170" spans="3:3">
      <c r="C5170" t="s">
        <v>3307</v>
      </c>
    </row>
    <row r="5171" spans="3:3">
      <c r="C5171" t="s">
        <v>1205</v>
      </c>
    </row>
    <row r="5172" spans="3:3">
      <c r="C5172" t="s">
        <v>2</v>
      </c>
    </row>
    <row r="5173" spans="3:3">
      <c r="C5173" t="s">
        <v>344</v>
      </c>
    </row>
    <row r="5174" spans="3:3">
      <c r="C5174" t="s">
        <v>253</v>
      </c>
    </row>
    <row r="5175" spans="3:3">
      <c r="C5175" t="s">
        <v>3308</v>
      </c>
    </row>
    <row r="5176" spans="3:3">
      <c r="C5176" t="s">
        <v>163</v>
      </c>
    </row>
    <row r="5177" spans="3:3">
      <c r="C5177" t="s">
        <v>3309</v>
      </c>
    </row>
    <row r="5178" spans="3:3">
      <c r="C5178" t="s">
        <v>76</v>
      </c>
    </row>
    <row r="5179" spans="3:3">
      <c r="C5179" t="s">
        <v>323</v>
      </c>
    </row>
    <row r="5180" spans="3:3">
      <c r="C5180" t="s">
        <v>254</v>
      </c>
    </row>
    <row r="5181" spans="3:3">
      <c r="C5181" t="s">
        <v>3310</v>
      </c>
    </row>
    <row r="5182" spans="3:3">
      <c r="C5182" t="s">
        <v>3311</v>
      </c>
    </row>
    <row r="5183" spans="3:3">
      <c r="C5183" t="s">
        <v>49</v>
      </c>
    </row>
    <row r="5184" spans="3:3">
      <c r="C5184" t="s">
        <v>63</v>
      </c>
    </row>
    <row r="5185" spans="3:3">
      <c r="C5185" t="s">
        <v>14</v>
      </c>
    </row>
    <row r="5186" spans="3:3">
      <c r="C5186" t="s">
        <v>214</v>
      </c>
    </row>
    <row r="5187" spans="3:3">
      <c r="C5187" t="s">
        <v>64</v>
      </c>
    </row>
    <row r="5188" spans="3:3">
      <c r="C5188" t="s">
        <v>70</v>
      </c>
    </row>
    <row r="5189" spans="3:3">
      <c r="C5189" t="s">
        <v>3309</v>
      </c>
    </row>
    <row r="5190" spans="3:3">
      <c r="C5190" t="s">
        <v>129</v>
      </c>
    </row>
    <row r="5191" spans="3:3">
      <c r="C5191" t="s">
        <v>323</v>
      </c>
    </row>
    <row r="5192" spans="3:3">
      <c r="C5192" t="s">
        <v>83</v>
      </c>
    </row>
    <row r="5193" spans="3:3">
      <c r="C5193" t="s">
        <v>3312</v>
      </c>
    </row>
    <row r="5194" spans="3:3">
      <c r="C5194" t="s">
        <v>63</v>
      </c>
    </row>
    <row r="5195" spans="3:3">
      <c r="C5195" t="s">
        <v>170</v>
      </c>
    </row>
    <row r="5196" spans="3:3">
      <c r="C5196" t="s">
        <v>3313</v>
      </c>
    </row>
    <row r="5197" spans="3:3">
      <c r="C5197" t="s">
        <v>133</v>
      </c>
    </row>
    <row r="5198" spans="3:3">
      <c r="C5198" t="s">
        <v>1020</v>
      </c>
    </row>
    <row r="5199" spans="3:3">
      <c r="C5199" t="s">
        <v>618</v>
      </c>
    </row>
    <row r="5200" spans="3:3">
      <c r="C5200" t="s">
        <v>255</v>
      </c>
    </row>
    <row r="5201" spans="3:3">
      <c r="C5201">
        <v>2024</v>
      </c>
    </row>
    <row r="5202" spans="3:3">
      <c r="C5202">
        <v>2023</v>
      </c>
    </row>
    <row r="5203" spans="3:3">
      <c r="C5203" t="s">
        <v>619</v>
      </c>
    </row>
    <row r="5204" spans="3:3">
      <c r="C5204" t="s">
        <v>620</v>
      </c>
    </row>
    <row r="5205" spans="3:3">
      <c r="C5205" t="s">
        <v>621</v>
      </c>
    </row>
    <row r="5206" spans="3:3">
      <c r="C5206" t="s">
        <v>619</v>
      </c>
    </row>
    <row r="5207" spans="3:3">
      <c r="C5207" t="s">
        <v>620</v>
      </c>
    </row>
    <row r="5208" spans="3:3">
      <c r="C5208" t="s">
        <v>622</v>
      </c>
    </row>
    <row r="5209" spans="3:3">
      <c r="C5209" t="s">
        <v>250</v>
      </c>
    </row>
    <row r="5210" spans="3:3">
      <c r="C5210" t="s">
        <v>3314</v>
      </c>
    </row>
    <row r="5211" spans="3:3">
      <c r="C5211" t="s">
        <v>256</v>
      </c>
    </row>
    <row r="5212" spans="3:3">
      <c r="C5212" t="s">
        <v>157</v>
      </c>
    </row>
    <row r="5213" spans="3:3">
      <c r="C5213" t="s">
        <v>3315</v>
      </c>
    </row>
    <row r="5214" spans="3:3">
      <c r="C5214" t="s">
        <v>3316</v>
      </c>
    </row>
    <row r="5215" spans="3:3">
      <c r="C5215" t="s">
        <v>61</v>
      </c>
    </row>
    <row r="5216" spans="3:3">
      <c r="C5216" t="s">
        <v>3317</v>
      </c>
    </row>
    <row r="5217" spans="3:3">
      <c r="C5217" t="s">
        <v>3318</v>
      </c>
    </row>
    <row r="5218" spans="3:3">
      <c r="C5218" t="s">
        <v>257</v>
      </c>
    </row>
    <row r="5219" spans="3:3">
      <c r="C5219" t="s">
        <v>1229</v>
      </c>
    </row>
    <row r="5220" spans="3:3">
      <c r="C5220" t="s">
        <v>3319</v>
      </c>
    </row>
    <row r="5221" spans="3:3">
      <c r="C5221" t="s">
        <v>3320</v>
      </c>
    </row>
    <row r="5222" spans="3:3">
      <c r="C5222" t="s">
        <v>1251</v>
      </c>
    </row>
    <row r="5223" spans="3:3">
      <c r="C5223" t="s">
        <v>1294</v>
      </c>
    </row>
    <row r="5224" spans="3:3">
      <c r="C5224" t="s">
        <v>1500</v>
      </c>
    </row>
    <row r="5225" spans="3:3">
      <c r="C5225" t="s">
        <v>813</v>
      </c>
    </row>
    <row r="5226" spans="3:3">
      <c r="C5226" t="s">
        <v>814</v>
      </c>
    </row>
    <row r="5227" spans="3:3">
      <c r="C5227" t="s">
        <v>319</v>
      </c>
    </row>
    <row r="5228" spans="3:3">
      <c r="C5228" t="s">
        <v>320</v>
      </c>
    </row>
    <row r="5229" spans="3:3">
      <c r="C5229">
        <v>99</v>
      </c>
    </row>
    <row r="5230" spans="3:3">
      <c r="C5230" t="s">
        <v>829</v>
      </c>
    </row>
    <row r="5231" spans="3:3">
      <c r="C5231" t="s">
        <v>623</v>
      </c>
    </row>
    <row r="5232" spans="3:3">
      <c r="C5232" t="s">
        <v>3321</v>
      </c>
    </row>
    <row r="5233" spans="3:3">
      <c r="C5233" t="s">
        <v>3322</v>
      </c>
    </row>
    <row r="5234" spans="3:3">
      <c r="C5234" t="s">
        <v>9</v>
      </c>
    </row>
    <row r="5235" spans="3:3">
      <c r="C5235" t="s">
        <v>3323</v>
      </c>
    </row>
    <row r="5236" spans="3:3">
      <c r="C5236" t="s">
        <v>3313</v>
      </c>
    </row>
    <row r="5237" spans="3:3">
      <c r="C5237" t="s">
        <v>3324</v>
      </c>
    </row>
    <row r="5238" spans="3:3">
      <c r="C5238" t="s">
        <v>3325</v>
      </c>
    </row>
    <row r="5239" spans="3:3">
      <c r="C5239" t="s">
        <v>3326</v>
      </c>
    </row>
    <row r="5240" spans="3:3">
      <c r="C5240" t="s">
        <v>258</v>
      </c>
    </row>
    <row r="5241" spans="3:3">
      <c r="C5241" t="s">
        <v>3327</v>
      </c>
    </row>
    <row r="5242" spans="3:3">
      <c r="C5242" t="s">
        <v>3308</v>
      </c>
    </row>
    <row r="5243" spans="3:3">
      <c r="C5243" t="s">
        <v>3328</v>
      </c>
    </row>
    <row r="5244" spans="3:3">
      <c r="C5244" t="s">
        <v>3329</v>
      </c>
    </row>
    <row r="5245" spans="3:3">
      <c r="C5245" t="s">
        <v>3330</v>
      </c>
    </row>
    <row r="5246" spans="3:3">
      <c r="C5246" t="s">
        <v>9</v>
      </c>
    </row>
    <row r="5247" spans="3:3">
      <c r="C5247" t="s">
        <v>3331</v>
      </c>
    </row>
    <row r="5248" spans="3:3">
      <c r="C5248" t="s">
        <v>20</v>
      </c>
    </row>
    <row r="5249" spans="3:3">
      <c r="C5249" t="s">
        <v>1501</v>
      </c>
    </row>
    <row r="5250" spans="3:3">
      <c r="C5250" t="s">
        <v>624</v>
      </c>
    </row>
    <row r="5251" spans="3:3">
      <c r="C5251" t="s">
        <v>3332</v>
      </c>
    </row>
    <row r="5252" spans="3:3">
      <c r="C5252" t="s">
        <v>1502</v>
      </c>
    </row>
    <row r="5253" spans="3:3">
      <c r="C5253" t="s">
        <v>1503</v>
      </c>
    </row>
    <row r="5254" spans="3:3">
      <c r="C5254" t="s">
        <v>259</v>
      </c>
    </row>
    <row r="5255" spans="3:3">
      <c r="C5255" t="s">
        <v>260</v>
      </c>
    </row>
    <row r="5256" spans="3:3">
      <c r="C5256" t="s">
        <v>795</v>
      </c>
    </row>
    <row r="5257" spans="3:3">
      <c r="C5257" t="s">
        <v>625</v>
      </c>
    </row>
    <row r="5258" spans="3:3">
      <c r="C5258" t="s">
        <v>3333</v>
      </c>
    </row>
    <row r="5259" spans="3:3">
      <c r="C5259" t="s">
        <v>1504</v>
      </c>
    </row>
    <row r="5260" spans="3:3">
      <c r="C5260" t="s">
        <v>626</v>
      </c>
    </row>
    <row r="5261" spans="3:3">
      <c r="C5261" t="s">
        <v>1505</v>
      </c>
    </row>
    <row r="5262" spans="3:3">
      <c r="C5262" t="s">
        <v>627</v>
      </c>
    </row>
    <row r="5263" spans="3:3">
      <c r="C5263" t="s">
        <v>1506</v>
      </c>
    </row>
    <row r="5264" spans="3:3">
      <c r="C5264" t="s">
        <v>628</v>
      </c>
    </row>
    <row r="5265" spans="3:3">
      <c r="C5265" t="s">
        <v>626</v>
      </c>
    </row>
    <row r="5266" spans="3:3">
      <c r="C5266" t="s">
        <v>261</v>
      </c>
    </row>
    <row r="5267" spans="3:3">
      <c r="C5267" t="s">
        <v>262</v>
      </c>
    </row>
    <row r="5268" spans="3:3">
      <c r="C5268" t="s">
        <v>1507</v>
      </c>
    </row>
    <row r="5269" spans="3:3">
      <c r="C5269" t="s">
        <v>1508</v>
      </c>
    </row>
    <row r="5270" spans="3:3">
      <c r="C5270" t="s">
        <v>813</v>
      </c>
    </row>
    <row r="5271" spans="3:3">
      <c r="C5271" t="s">
        <v>814</v>
      </c>
    </row>
    <row r="5272" spans="3:3">
      <c r="C5272" t="s">
        <v>319</v>
      </c>
    </row>
    <row r="5273" spans="3:3">
      <c r="C5273" t="s">
        <v>320</v>
      </c>
    </row>
    <row r="5274" spans="3:3">
      <c r="C5274">
        <v>100</v>
      </c>
    </row>
    <row r="5275" spans="3:3">
      <c r="C5275" t="s">
        <v>829</v>
      </c>
    </row>
    <row r="5276" spans="3:3">
      <c r="C5276" t="s">
        <v>259</v>
      </c>
    </row>
    <row r="5277" spans="3:3">
      <c r="C5277" t="s">
        <v>260</v>
      </c>
    </row>
    <row r="5278" spans="3:3">
      <c r="C5278" t="s">
        <v>1509</v>
      </c>
    </row>
    <row r="5279" spans="3:3">
      <c r="C5279" t="s">
        <v>1510</v>
      </c>
    </row>
    <row r="5280" spans="3:3">
      <c r="C5280" t="s">
        <v>626</v>
      </c>
    </row>
    <row r="5281" spans="3:3">
      <c r="C5281" t="s">
        <v>1511</v>
      </c>
    </row>
    <row r="5282" spans="3:3">
      <c r="C5282" t="s">
        <v>1512</v>
      </c>
    </row>
    <row r="5283" spans="3:3">
      <c r="C5283" t="s">
        <v>1513</v>
      </c>
    </row>
    <row r="5284" spans="3:3">
      <c r="C5284" t="s">
        <v>263</v>
      </c>
    </row>
    <row r="5285" spans="3:3">
      <c r="C5285" t="s">
        <v>264</v>
      </c>
    </row>
    <row r="5286" spans="3:3">
      <c r="C5286" t="s">
        <v>629</v>
      </c>
    </row>
    <row r="5287" spans="3:3">
      <c r="C5287" t="s">
        <v>1514</v>
      </c>
    </row>
    <row r="5288" spans="3:3">
      <c r="C5288" t="s">
        <v>1515</v>
      </c>
    </row>
    <row r="5289" spans="3:3">
      <c r="C5289" t="s">
        <v>1516</v>
      </c>
    </row>
    <row r="5290" spans="3:3">
      <c r="C5290" t="s">
        <v>265</v>
      </c>
    </row>
    <row r="5291" spans="3:3">
      <c r="C5291" t="s">
        <v>630</v>
      </c>
    </row>
    <row r="5292" spans="3:3">
      <c r="C5292" t="s">
        <v>631</v>
      </c>
    </row>
    <row r="5293" spans="3:3">
      <c r="C5293" t="s">
        <v>632</v>
      </c>
    </row>
    <row r="5294" spans="3:3">
      <c r="C5294" t="s">
        <v>3334</v>
      </c>
    </row>
    <row r="5295" spans="3:3">
      <c r="C5295" t="s">
        <v>3335</v>
      </c>
    </row>
    <row r="5296" spans="3:3">
      <c r="C5296" t="s">
        <v>3336</v>
      </c>
    </row>
    <row r="5297" spans="3:3">
      <c r="C5297" t="s">
        <v>1517</v>
      </c>
    </row>
    <row r="5298" spans="3:3">
      <c r="C5298" t="s">
        <v>796</v>
      </c>
    </row>
    <row r="5299" spans="3:3">
      <c r="C5299" t="s">
        <v>1518</v>
      </c>
    </row>
    <row r="5300" spans="3:3">
      <c r="C5300" t="s">
        <v>1519</v>
      </c>
    </row>
    <row r="5301" spans="3:3">
      <c r="C5301" t="s">
        <v>797</v>
      </c>
    </row>
    <row r="5302" spans="3:3">
      <c r="C5302" t="s">
        <v>3337</v>
      </c>
    </row>
    <row r="5303" spans="3:3">
      <c r="C5303" t="s">
        <v>3338</v>
      </c>
    </row>
    <row r="5304" spans="3:3">
      <c r="C5304" t="s">
        <v>3339</v>
      </c>
    </row>
    <row r="5305" spans="3:3">
      <c r="C5305" t="s">
        <v>1520</v>
      </c>
    </row>
    <row r="5306" spans="3:3">
      <c r="C5306" t="s">
        <v>1521</v>
      </c>
    </row>
    <row r="5307" spans="3:3">
      <c r="C5307" t="s">
        <v>813</v>
      </c>
    </row>
    <row r="5308" spans="3:3">
      <c r="C5308" t="s">
        <v>814</v>
      </c>
    </row>
    <row r="5309" spans="3:3">
      <c r="C5309" t="s">
        <v>319</v>
      </c>
    </row>
    <row r="5310" spans="3:3">
      <c r="C5310" t="s">
        <v>320</v>
      </c>
    </row>
    <row r="5311" spans="3:3">
      <c r="C5311">
        <v>101</v>
      </c>
    </row>
    <row r="5312" spans="3:3">
      <c r="C5312" t="s">
        <v>829</v>
      </c>
    </row>
    <row r="5313" spans="3:3">
      <c r="C5313" t="s">
        <v>3340</v>
      </c>
    </row>
    <row r="5314" spans="3:3">
      <c r="C5314" t="s">
        <v>633</v>
      </c>
    </row>
    <row r="5315" spans="3:3">
      <c r="C5315" t="s">
        <v>1522</v>
      </c>
    </row>
    <row r="5316" spans="3:3">
      <c r="C5316" t="s">
        <v>1523</v>
      </c>
    </row>
    <row r="5317" spans="3:3">
      <c r="C5317" t="s">
        <v>1524</v>
      </c>
    </row>
    <row r="5318" spans="3:3">
      <c r="C5318" t="s">
        <v>798</v>
      </c>
    </row>
    <row r="5319" spans="3:3">
      <c r="C5319" t="s">
        <v>1525</v>
      </c>
    </row>
    <row r="5320" spans="3:3">
      <c r="C5320" t="s">
        <v>1526</v>
      </c>
    </row>
    <row r="5321" spans="3:3">
      <c r="C5321" t="s">
        <v>1527</v>
      </c>
    </row>
    <row r="5322" spans="3:3">
      <c r="C5322" t="s">
        <v>1528</v>
      </c>
    </row>
    <row r="5323" spans="3:3">
      <c r="C5323" t="s">
        <v>1529</v>
      </c>
    </row>
    <row r="5324" spans="3:3">
      <c r="C5324" t="s">
        <v>1530</v>
      </c>
    </row>
    <row r="5325" spans="3:3">
      <c r="C5325" t="s">
        <v>1531</v>
      </c>
    </row>
    <row r="5326" spans="3:3">
      <c r="C5326" t="s">
        <v>813</v>
      </c>
    </row>
    <row r="5327" spans="3:3">
      <c r="C5327" t="s">
        <v>814</v>
      </c>
    </row>
    <row r="5328" spans="3:3">
      <c r="C5328" t="s">
        <v>319</v>
      </c>
    </row>
    <row r="5329" spans="3:3">
      <c r="C5329" t="s">
        <v>320</v>
      </c>
    </row>
    <row r="5330" spans="3:3">
      <c r="C5330">
        <v>102</v>
      </c>
    </row>
    <row r="5331" spans="3:3">
      <c r="C5331" t="s">
        <v>829</v>
      </c>
    </row>
    <row r="5332" spans="3:3">
      <c r="C5332" t="s">
        <v>3341</v>
      </c>
    </row>
    <row r="5333" spans="3:3">
      <c r="C5333" t="s">
        <v>3342</v>
      </c>
    </row>
    <row r="5334" spans="3:3">
      <c r="C5334" t="s">
        <v>3343</v>
      </c>
    </row>
    <row r="5335" spans="3:3">
      <c r="C5335" t="s">
        <v>634</v>
      </c>
    </row>
    <row r="5336" spans="3:3">
      <c r="C5336" t="s">
        <v>635</v>
      </c>
    </row>
    <row r="5337" spans="3:3">
      <c r="C5337" t="s">
        <v>3344</v>
      </c>
    </row>
    <row r="5338" spans="3:3">
      <c r="C5338" t="s">
        <v>3345</v>
      </c>
    </row>
    <row r="5339" spans="3:3">
      <c r="C5339" t="s">
        <v>636</v>
      </c>
    </row>
    <row r="5340" spans="3:3">
      <c r="C5340" t="s">
        <v>1532</v>
      </c>
    </row>
    <row r="5341" spans="3:3">
      <c r="C5341" t="s">
        <v>637</v>
      </c>
    </row>
    <row r="5342" spans="3:3">
      <c r="C5342" t="s">
        <v>2876</v>
      </c>
    </row>
    <row r="5343" spans="3:3">
      <c r="C5343" t="s">
        <v>1533</v>
      </c>
    </row>
    <row r="5344" spans="3:3">
      <c r="C5344" t="s">
        <v>3346</v>
      </c>
    </row>
    <row r="5345" spans="3:3">
      <c r="C5345" t="s">
        <v>1534</v>
      </c>
    </row>
    <row r="5346" spans="3:3">
      <c r="C5346" t="s">
        <v>3346</v>
      </c>
    </row>
    <row r="5347" spans="3:3">
      <c r="C5347" t="s">
        <v>1535</v>
      </c>
    </row>
    <row r="5348" spans="3:3">
      <c r="C5348" t="s">
        <v>3347</v>
      </c>
    </row>
    <row r="5349" spans="3:3">
      <c r="C5349" t="s">
        <v>3348</v>
      </c>
    </row>
    <row r="5350" spans="3:3">
      <c r="C5350" t="s">
        <v>1536</v>
      </c>
    </row>
    <row r="5351" spans="3:3">
      <c r="C5351" t="s">
        <v>1537</v>
      </c>
    </row>
    <row r="5352" spans="3:3">
      <c r="C5352" t="s">
        <v>799</v>
      </c>
    </row>
    <row r="5353" spans="3:3">
      <c r="C5353" t="s">
        <v>800</v>
      </c>
    </row>
    <row r="5354" spans="3:3">
      <c r="C5354" t="s">
        <v>813</v>
      </c>
    </row>
    <row r="5355" spans="3:3">
      <c r="C5355" t="s">
        <v>814</v>
      </c>
    </row>
    <row r="5356" spans="3:3">
      <c r="C5356" t="s">
        <v>319</v>
      </c>
    </row>
    <row r="5357" spans="3:3">
      <c r="C5357" t="s">
        <v>320</v>
      </c>
    </row>
    <row r="5358" spans="3:3">
      <c r="C5358">
        <v>103</v>
      </c>
    </row>
    <row r="5359" spans="3:3">
      <c r="C5359" t="s">
        <v>829</v>
      </c>
    </row>
    <row r="5360" spans="3:3">
      <c r="C5360" t="s">
        <v>638</v>
      </c>
    </row>
    <row r="5361" spans="3:3">
      <c r="C5361" t="s">
        <v>78</v>
      </c>
    </row>
    <row r="5362" spans="3:3">
      <c r="C5362" t="s">
        <v>10</v>
      </c>
    </row>
    <row r="5363" spans="3:3">
      <c r="C5363" t="s">
        <v>3349</v>
      </c>
    </row>
    <row r="5364" spans="3:3">
      <c r="C5364" t="s">
        <v>266</v>
      </c>
    </row>
    <row r="5365" spans="3:3">
      <c r="C5365" t="s">
        <v>89</v>
      </c>
    </row>
    <row r="5366" spans="3:3">
      <c r="C5366" t="s">
        <v>3350</v>
      </c>
    </row>
    <row r="5367" spans="3:3">
      <c r="C5367" t="s">
        <v>174</v>
      </c>
    </row>
    <row r="5368" spans="3:3">
      <c r="C5368" t="s">
        <v>175</v>
      </c>
    </row>
    <row r="5369" spans="3:3">
      <c r="C5369" t="s">
        <v>3351</v>
      </c>
    </row>
    <row r="5370" spans="3:3">
      <c r="C5370" t="s">
        <v>3352</v>
      </c>
    </row>
    <row r="5371" spans="3:3">
      <c r="C5371" t="s">
        <v>267</v>
      </c>
    </row>
    <row r="5372" spans="3:3">
      <c r="C5372" t="s">
        <v>3353</v>
      </c>
    </row>
    <row r="5373" spans="3:3">
      <c r="C5373" t="s">
        <v>3354</v>
      </c>
    </row>
    <row r="5374" spans="3:3">
      <c r="C5374" t="s">
        <v>268</v>
      </c>
    </row>
    <row r="5375" spans="3:3">
      <c r="C5375" t="s">
        <v>269</v>
      </c>
    </row>
    <row r="5376" spans="3:3">
      <c r="C5376" t="s">
        <v>56</v>
      </c>
    </row>
    <row r="5377" spans="3:3">
      <c r="C5377" t="s">
        <v>242</v>
      </c>
    </row>
    <row r="5378" spans="3:3">
      <c r="C5378" t="s">
        <v>639</v>
      </c>
    </row>
    <row r="5379" spans="3:3">
      <c r="C5379" t="s">
        <v>240</v>
      </c>
    </row>
    <row r="5380" spans="3:3">
      <c r="C5380" t="s">
        <v>270</v>
      </c>
    </row>
    <row r="5381" spans="3:3">
      <c r="C5381" t="s">
        <v>3355</v>
      </c>
    </row>
    <row r="5382" spans="3:3">
      <c r="C5382" t="s">
        <v>2</v>
      </c>
    </row>
    <row r="5383" spans="3:3">
      <c r="C5383" t="s">
        <v>2</v>
      </c>
    </row>
    <row r="5384" spans="3:3">
      <c r="C5384" t="s">
        <v>3356</v>
      </c>
    </row>
    <row r="5385" spans="3:3">
      <c r="C5385" t="s">
        <v>3357</v>
      </c>
    </row>
    <row r="5386" spans="3:3">
      <c r="C5386" t="s">
        <v>163</v>
      </c>
    </row>
    <row r="5387" spans="3:3">
      <c r="C5387" t="s">
        <v>640</v>
      </c>
    </row>
    <row r="5388" spans="3:3">
      <c r="C5388" t="s">
        <v>2</v>
      </c>
    </row>
    <row r="5389" spans="3:3">
      <c r="C5389" t="s">
        <v>271</v>
      </c>
    </row>
    <row r="5390" spans="3:3">
      <c r="C5390" t="s">
        <v>641</v>
      </c>
    </row>
    <row r="5391" spans="3:3">
      <c r="C5391" t="s">
        <v>143</v>
      </c>
    </row>
    <row r="5392" spans="3:3">
      <c r="C5392" t="s">
        <v>2</v>
      </c>
    </row>
    <row r="5393" spans="3:3">
      <c r="C5393" t="s">
        <v>642</v>
      </c>
    </row>
    <row r="5394" spans="3:3">
      <c r="C5394" t="s">
        <v>2</v>
      </c>
    </row>
    <row r="5395" spans="3:3">
      <c r="C5395" t="s">
        <v>232</v>
      </c>
    </row>
    <row r="5396" spans="3:3">
      <c r="C5396" t="s">
        <v>3358</v>
      </c>
    </row>
    <row r="5397" spans="3:3">
      <c r="C5397" t="s">
        <v>3359</v>
      </c>
    </row>
    <row r="5398" spans="3:3">
      <c r="C5398" t="s">
        <v>272</v>
      </c>
    </row>
    <row r="5399" spans="3:3">
      <c r="C5399" t="s">
        <v>3360</v>
      </c>
    </row>
    <row r="5400" spans="3:3">
      <c r="C5400" t="s">
        <v>643</v>
      </c>
    </row>
    <row r="5401" spans="3:3">
      <c r="C5401" t="s">
        <v>273</v>
      </c>
    </row>
    <row r="5402" spans="3:3">
      <c r="C5402" t="s">
        <v>3361</v>
      </c>
    </row>
    <row r="5403" spans="3:3">
      <c r="C5403" t="s">
        <v>78</v>
      </c>
    </row>
    <row r="5404" spans="3:3">
      <c r="C5404" t="s">
        <v>165</v>
      </c>
    </row>
    <row r="5405" spans="3:3">
      <c r="C5405" t="s">
        <v>10</v>
      </c>
    </row>
    <row r="5406" spans="3:3">
      <c r="C5406" t="s">
        <v>3362</v>
      </c>
    </row>
    <row r="5407" spans="3:3">
      <c r="C5407" t="s">
        <v>274</v>
      </c>
    </row>
    <row r="5408" spans="3:3">
      <c r="C5408" t="s">
        <v>644</v>
      </c>
    </row>
    <row r="5409" spans="3:3">
      <c r="C5409" t="s">
        <v>274</v>
      </c>
    </row>
    <row r="5410" spans="3:3">
      <c r="C5410" t="s">
        <v>645</v>
      </c>
    </row>
    <row r="5411" spans="3:3">
      <c r="C5411" t="s">
        <v>275</v>
      </c>
    </row>
    <row r="5412" spans="3:3">
      <c r="C5412" t="s">
        <v>276</v>
      </c>
    </row>
    <row r="5413" spans="3:3">
      <c r="C5413" t="s">
        <v>277</v>
      </c>
    </row>
    <row r="5414" spans="3:3">
      <c r="C5414" t="s">
        <v>3363</v>
      </c>
    </row>
    <row r="5415" spans="3:3">
      <c r="C5415" t="s">
        <v>3364</v>
      </c>
    </row>
    <row r="5416" spans="3:3">
      <c r="C5416" t="s">
        <v>3365</v>
      </c>
    </row>
    <row r="5417" spans="3:3">
      <c r="C5417" t="s">
        <v>3366</v>
      </c>
    </row>
    <row r="5418" spans="3:3">
      <c r="C5418" t="s">
        <v>3367</v>
      </c>
    </row>
    <row r="5419" spans="3:3">
      <c r="C5419" t="s">
        <v>3368</v>
      </c>
    </row>
    <row r="5420" spans="3:3">
      <c r="C5420" t="s">
        <v>646</v>
      </c>
    </row>
    <row r="5421" spans="3:3">
      <c r="C5421" t="s">
        <v>1538</v>
      </c>
    </row>
    <row r="5422" spans="3:3">
      <c r="C5422" t="s">
        <v>1539</v>
      </c>
    </row>
    <row r="5423" spans="3:3">
      <c r="C5423" t="s">
        <v>1540</v>
      </c>
    </row>
    <row r="5424" spans="3:3">
      <c r="C5424" t="s">
        <v>3369</v>
      </c>
    </row>
    <row r="5425" spans="3:3">
      <c r="C5425" t="s">
        <v>813</v>
      </c>
    </row>
    <row r="5426" spans="3:3">
      <c r="C5426" t="s">
        <v>814</v>
      </c>
    </row>
    <row r="5427" spans="3:3">
      <c r="C5427" t="s">
        <v>319</v>
      </c>
    </row>
    <row r="5428" spans="3:3">
      <c r="C5428" t="s">
        <v>320</v>
      </c>
    </row>
    <row r="5429" spans="3:3">
      <c r="C5429">
        <v>104</v>
      </c>
    </row>
    <row r="5430" spans="3:3">
      <c r="C5430" t="s">
        <v>829</v>
      </c>
    </row>
    <row r="5431" spans="3:3">
      <c r="C5431" t="s">
        <v>1541</v>
      </c>
    </row>
    <row r="5432" spans="3:3">
      <c r="C5432" t="s">
        <v>1542</v>
      </c>
    </row>
    <row r="5433" spans="3:3">
      <c r="C5433" t="s">
        <v>635</v>
      </c>
    </row>
    <row r="5434" spans="3:3">
      <c r="C5434" t="s">
        <v>1543</v>
      </c>
    </row>
    <row r="5435" spans="3:3">
      <c r="C5435" t="s">
        <v>3370</v>
      </c>
    </row>
    <row r="5436" spans="3:3">
      <c r="C5436" t="s">
        <v>3371</v>
      </c>
    </row>
    <row r="5437" spans="3:3">
      <c r="C5437" t="s">
        <v>3372</v>
      </c>
    </row>
    <row r="5438" spans="3:3">
      <c r="C5438" t="s">
        <v>3373</v>
      </c>
    </row>
    <row r="5439" spans="3:3">
      <c r="C5439" t="s">
        <v>3374</v>
      </c>
    </row>
    <row r="5440" spans="3:3">
      <c r="C5440" t="s">
        <v>647</v>
      </c>
    </row>
    <row r="5441" spans="3:3">
      <c r="C5441" t="s">
        <v>3375</v>
      </c>
    </row>
    <row r="5442" spans="3:3">
      <c r="C5442" t="s">
        <v>1544</v>
      </c>
    </row>
    <row r="5443" spans="3:3">
      <c r="C5443" t="s">
        <v>3376</v>
      </c>
    </row>
    <row r="5444" spans="3:3">
      <c r="C5444" t="s">
        <v>3377</v>
      </c>
    </row>
    <row r="5445" spans="3:3">
      <c r="C5445" t="s">
        <v>3378</v>
      </c>
    </row>
    <row r="5446" spans="3:3">
      <c r="C5446" t="s">
        <v>813</v>
      </c>
    </row>
    <row r="5447" spans="3:3">
      <c r="C5447" t="s">
        <v>814</v>
      </c>
    </row>
    <row r="5448" spans="3:3">
      <c r="C5448" t="s">
        <v>319</v>
      </c>
    </row>
    <row r="5449" spans="3:3">
      <c r="C5449" t="s">
        <v>320</v>
      </c>
    </row>
    <row r="5450" spans="3:3">
      <c r="C5450">
        <v>105</v>
      </c>
    </row>
    <row r="5451" spans="3:3">
      <c r="C5451" t="s">
        <v>829</v>
      </c>
    </row>
    <row r="5452" spans="3:3">
      <c r="C5452" t="s">
        <v>3379</v>
      </c>
    </row>
    <row r="5453" spans="3:3">
      <c r="C5453" t="s">
        <v>648</v>
      </c>
    </row>
    <row r="5454" spans="3:3">
      <c r="C5454" t="s">
        <v>3380</v>
      </c>
    </row>
    <row r="5455" spans="3:3">
      <c r="C5455" t="s">
        <v>649</v>
      </c>
    </row>
    <row r="5456" spans="3:3">
      <c r="C5456" t="s">
        <v>279</v>
      </c>
    </row>
    <row r="5457" spans="3:3">
      <c r="C5457" t="s">
        <v>280</v>
      </c>
    </row>
    <row r="5458" spans="3:3">
      <c r="C5458" t="s">
        <v>281</v>
      </c>
    </row>
    <row r="5459" spans="3:3">
      <c r="C5459" t="s">
        <v>282</v>
      </c>
    </row>
    <row r="5460" spans="3:3">
      <c r="C5460" t="s">
        <v>283</v>
      </c>
    </row>
    <row r="5461" spans="3:3">
      <c r="C5461" t="s">
        <v>284</v>
      </c>
    </row>
    <row r="5462" spans="3:3">
      <c r="C5462" t="s">
        <v>650</v>
      </c>
    </row>
    <row r="5463" spans="3:3">
      <c r="C5463" t="s">
        <v>3381</v>
      </c>
    </row>
    <row r="5464" spans="3:3">
      <c r="C5464" t="s">
        <v>279</v>
      </c>
    </row>
    <row r="5465" spans="3:3">
      <c r="C5465" t="s">
        <v>280</v>
      </c>
    </row>
    <row r="5466" spans="3:3">
      <c r="C5466" t="s">
        <v>281</v>
      </c>
    </row>
    <row r="5467" spans="3:3">
      <c r="C5467" t="s">
        <v>282</v>
      </c>
    </row>
    <row r="5468" spans="3:3">
      <c r="C5468" t="s">
        <v>283</v>
      </c>
    </row>
    <row r="5469" spans="3:3">
      <c r="C5469" t="s">
        <v>284</v>
      </c>
    </row>
    <row r="5470" spans="3:3">
      <c r="C5470" t="s">
        <v>80</v>
      </c>
    </row>
    <row r="5471" spans="3:3">
      <c r="C5471" t="s">
        <v>651</v>
      </c>
    </row>
    <row r="5472" spans="3:3">
      <c r="C5472" t="s">
        <v>285</v>
      </c>
    </row>
    <row r="5473" spans="3:3">
      <c r="C5473" t="s">
        <v>81</v>
      </c>
    </row>
    <row r="5474" spans="3:3">
      <c r="C5474" t="s">
        <v>160</v>
      </c>
    </row>
    <row r="5475" spans="3:3">
      <c r="C5475" t="s">
        <v>2</v>
      </c>
    </row>
    <row r="5476" spans="3:3">
      <c r="C5476" t="s">
        <v>2</v>
      </c>
    </row>
    <row r="5477" spans="3:3">
      <c r="C5477" t="s">
        <v>286</v>
      </c>
    </row>
    <row r="5478" spans="3:3">
      <c r="C5478" t="s">
        <v>652</v>
      </c>
    </row>
    <row r="5479" spans="3:3">
      <c r="C5479" t="s">
        <v>285</v>
      </c>
    </row>
    <row r="5480" spans="3:3">
      <c r="C5480" t="s">
        <v>287</v>
      </c>
    </row>
    <row r="5481" spans="3:3">
      <c r="C5481" t="s">
        <v>129</v>
      </c>
    </row>
    <row r="5482" spans="3:3">
      <c r="C5482" t="s">
        <v>213</v>
      </c>
    </row>
    <row r="5483" spans="3:3">
      <c r="C5483" t="s">
        <v>215</v>
      </c>
    </row>
    <row r="5484" spans="3:3">
      <c r="C5484" t="s">
        <v>219</v>
      </c>
    </row>
    <row r="5485" spans="3:3">
      <c r="C5485" t="s">
        <v>288</v>
      </c>
    </row>
    <row r="5486" spans="3:3">
      <c r="C5486" t="s">
        <v>123</v>
      </c>
    </row>
    <row r="5487" spans="3:3">
      <c r="C5487" t="s">
        <v>289</v>
      </c>
    </row>
    <row r="5488" spans="3:3">
      <c r="C5488" t="s">
        <v>131</v>
      </c>
    </row>
    <row r="5489" spans="3:3">
      <c r="C5489" t="s">
        <v>36</v>
      </c>
    </row>
    <row r="5490" spans="3:3">
      <c r="C5490" t="s">
        <v>290</v>
      </c>
    </row>
    <row r="5491" spans="3:3">
      <c r="C5491" t="s">
        <v>83</v>
      </c>
    </row>
    <row r="5492" spans="3:3">
      <c r="C5492" t="s">
        <v>81</v>
      </c>
    </row>
    <row r="5493" spans="3:3">
      <c r="C5493" t="s">
        <v>286</v>
      </c>
    </row>
    <row r="5494" spans="3:3">
      <c r="C5494" t="s">
        <v>242</v>
      </c>
    </row>
    <row r="5495" spans="3:3">
      <c r="C5495" t="s">
        <v>128</v>
      </c>
    </row>
    <row r="5496" spans="3:3">
      <c r="C5496" t="s">
        <v>173</v>
      </c>
    </row>
    <row r="5497" spans="3:3">
      <c r="C5497" t="s">
        <v>1545</v>
      </c>
    </row>
    <row r="5498" spans="3:3">
      <c r="C5498" t="s">
        <v>1546</v>
      </c>
    </row>
    <row r="5499" spans="3:3">
      <c r="C5499" t="s">
        <v>1547</v>
      </c>
    </row>
    <row r="5500" spans="3:3">
      <c r="C5500" t="s">
        <v>803</v>
      </c>
    </row>
    <row r="5501" spans="3:3">
      <c r="C5501" t="s">
        <v>804</v>
      </c>
    </row>
    <row r="5502" spans="3:3">
      <c r="C5502" t="s">
        <v>805</v>
      </c>
    </row>
    <row r="5503" spans="3:3">
      <c r="C5503" t="s">
        <v>1550</v>
      </c>
    </row>
    <row r="5504" spans="3:3">
      <c r="C5504" t="s">
        <v>3382</v>
      </c>
    </row>
    <row r="5505" spans="3:3">
      <c r="C5505" t="s">
        <v>653</v>
      </c>
    </row>
    <row r="5506" spans="3:3">
      <c r="C5506" t="s">
        <v>813</v>
      </c>
    </row>
    <row r="5507" spans="3:3">
      <c r="C5507" t="s">
        <v>814</v>
      </c>
    </row>
    <row r="5508" spans="3:3">
      <c r="C5508" t="s">
        <v>319</v>
      </c>
    </row>
    <row r="5509" spans="3:3">
      <c r="C5509" t="s">
        <v>320</v>
      </c>
    </row>
    <row r="5510" spans="3:3">
      <c r="C5510">
        <v>106</v>
      </c>
    </row>
    <row r="5511" spans="3:3">
      <c r="C5511" t="s">
        <v>829</v>
      </c>
    </row>
    <row r="5512" spans="3:3">
      <c r="C5512" t="s">
        <v>1548</v>
      </c>
    </row>
    <row r="5513" spans="3:3">
      <c r="C5513" t="s">
        <v>78</v>
      </c>
    </row>
    <row r="5514" spans="3:3">
      <c r="C5514" t="s">
        <v>10</v>
      </c>
    </row>
    <row r="5515" spans="3:3">
      <c r="C5515" t="s">
        <v>3383</v>
      </c>
    </row>
    <row r="5516" spans="3:3">
      <c r="C5516" t="s">
        <v>431</v>
      </c>
    </row>
    <row r="5517" spans="3:3">
      <c r="C5517" t="s">
        <v>3384</v>
      </c>
    </row>
    <row r="5518" spans="3:3">
      <c r="C5518" t="s">
        <v>654</v>
      </c>
    </row>
    <row r="5519" spans="3:3">
      <c r="C5519" t="s">
        <v>3385</v>
      </c>
    </row>
    <row r="5520" spans="3:3">
      <c r="C5520" t="s">
        <v>2</v>
      </c>
    </row>
    <row r="5521" spans="3:3">
      <c r="C5521" t="s">
        <v>3386</v>
      </c>
    </row>
    <row r="5522" spans="3:3">
      <c r="C5522" t="s">
        <v>3387</v>
      </c>
    </row>
    <row r="5523" spans="3:3">
      <c r="C5523" t="s">
        <v>3388</v>
      </c>
    </row>
    <row r="5524" spans="3:3">
      <c r="C5524" t="s">
        <v>3389</v>
      </c>
    </row>
    <row r="5525" spans="3:3">
      <c r="C5525" t="s">
        <v>3390</v>
      </c>
    </row>
    <row r="5526" spans="3:3">
      <c r="C5526" t="s">
        <v>2</v>
      </c>
    </row>
    <row r="5527" spans="3:3">
      <c r="C5527" t="s">
        <v>2</v>
      </c>
    </row>
    <row r="5528" spans="3:3">
      <c r="C5528" t="s">
        <v>655</v>
      </c>
    </row>
    <row r="5529" spans="3:3">
      <c r="C5529" t="s">
        <v>3391</v>
      </c>
    </row>
    <row r="5530" spans="3:3">
      <c r="C5530" t="s">
        <v>3392</v>
      </c>
    </row>
    <row r="5531" spans="3:3">
      <c r="C5531" t="s">
        <v>3393</v>
      </c>
    </row>
    <row r="5532" spans="3:3">
      <c r="C5532" t="s">
        <v>656</v>
      </c>
    </row>
    <row r="5533" spans="3:3">
      <c r="C5533" t="s">
        <v>3394</v>
      </c>
    </row>
    <row r="5534" spans="3:3">
      <c r="C5534" t="s">
        <v>2</v>
      </c>
    </row>
    <row r="5535" spans="3:3">
      <c r="C5535" t="s">
        <v>1739</v>
      </c>
    </row>
    <row r="5536" spans="3:3">
      <c r="C5536" t="s">
        <v>3395</v>
      </c>
    </row>
    <row r="5537" spans="3:3">
      <c r="C5537" t="s">
        <v>3396</v>
      </c>
    </row>
    <row r="5538" spans="3:3">
      <c r="C5538" t="s">
        <v>3397</v>
      </c>
    </row>
    <row r="5539" spans="3:3">
      <c r="C5539" t="s">
        <v>657</v>
      </c>
    </row>
    <row r="5540" spans="3:3">
      <c r="C5540" t="s">
        <v>3398</v>
      </c>
    </row>
    <row r="5541" spans="3:3">
      <c r="C5541" t="s">
        <v>3399</v>
      </c>
    </row>
    <row r="5542" spans="3:3">
      <c r="C5542" t="s">
        <v>3400</v>
      </c>
    </row>
    <row r="5543" spans="3:3">
      <c r="C5543" t="s">
        <v>3401</v>
      </c>
    </row>
    <row r="5544" spans="3:3">
      <c r="C5544" t="s">
        <v>707</v>
      </c>
    </row>
    <row r="5545" spans="3:3">
      <c r="C5545" t="s">
        <v>3402</v>
      </c>
    </row>
    <row r="5546" spans="3:3">
      <c r="C5546" t="s">
        <v>3403</v>
      </c>
    </row>
    <row r="5547" spans="3:3">
      <c r="C5547" t="s">
        <v>3404</v>
      </c>
    </row>
    <row r="5548" spans="3:3">
      <c r="C5548" t="s">
        <v>759</v>
      </c>
    </row>
    <row r="5549" spans="3:3">
      <c r="C5549" t="s">
        <v>3405</v>
      </c>
    </row>
    <row r="5550" spans="3:3">
      <c r="C5550" t="s">
        <v>1549</v>
      </c>
    </row>
    <row r="5551" spans="3:3">
      <c r="C5551" t="s">
        <v>658</v>
      </c>
    </row>
    <row r="5552" spans="3:3">
      <c r="C5552" t="s">
        <v>659</v>
      </c>
    </row>
    <row r="5553" spans="3:3">
      <c r="C5553" t="s">
        <v>291</v>
      </c>
    </row>
    <row r="5554" spans="3:3">
      <c r="C5554" t="s">
        <v>292</v>
      </c>
    </row>
    <row r="5555" spans="3:3">
      <c r="C5555" t="s">
        <v>293</v>
      </c>
    </row>
    <row r="5556" spans="3:3">
      <c r="C5556" t="s">
        <v>78</v>
      </c>
    </row>
    <row r="5557" spans="3:3">
      <c r="C5557" t="s">
        <v>165</v>
      </c>
    </row>
    <row r="5558" spans="3:3">
      <c r="C5558" t="s">
        <v>165</v>
      </c>
    </row>
    <row r="5559" spans="3:3">
      <c r="C5559" t="s">
        <v>10</v>
      </c>
    </row>
    <row r="5560" spans="3:3">
      <c r="C5560" t="s">
        <v>660</v>
      </c>
    </row>
    <row r="5561" spans="3:3">
      <c r="C5561" t="s">
        <v>294</v>
      </c>
    </row>
    <row r="5562" spans="3:3">
      <c r="C5562" t="s">
        <v>295</v>
      </c>
    </row>
    <row r="5563" spans="3:3">
      <c r="C5563" t="s">
        <v>294</v>
      </c>
    </row>
    <row r="5564" spans="3:3">
      <c r="C5564" t="s">
        <v>295</v>
      </c>
    </row>
    <row r="5565" spans="3:3">
      <c r="C5565" t="s">
        <v>294</v>
      </c>
    </row>
    <row r="5566" spans="3:3">
      <c r="C5566" t="s">
        <v>296</v>
      </c>
    </row>
    <row r="5567" spans="3:3">
      <c r="C5567" t="s">
        <v>3406</v>
      </c>
    </row>
    <row r="5568" spans="3:3">
      <c r="C5568" t="s">
        <v>3407</v>
      </c>
    </row>
    <row r="5569" spans="3:3">
      <c r="C5569" t="s">
        <v>3408</v>
      </c>
    </row>
    <row r="5570" spans="3:3">
      <c r="C5570" t="s">
        <v>2</v>
      </c>
    </row>
    <row r="5571" spans="3:3">
      <c r="C5571" t="s">
        <v>298</v>
      </c>
    </row>
    <row r="5572" spans="3:3">
      <c r="C5572" t="s">
        <v>2</v>
      </c>
    </row>
    <row r="5573" spans="3:3">
      <c r="C5573" t="s">
        <v>2</v>
      </c>
    </row>
    <row r="5574" spans="3:3">
      <c r="C5574" t="s">
        <v>3409</v>
      </c>
    </row>
    <row r="5575" spans="3:3">
      <c r="C5575" t="s">
        <v>3410</v>
      </c>
    </row>
    <row r="5576" spans="3:3">
      <c r="C5576" t="s">
        <v>3411</v>
      </c>
    </row>
    <row r="5577" spans="3:3">
      <c r="C5577" t="s">
        <v>28</v>
      </c>
    </row>
    <row r="5578" spans="3:3">
      <c r="C5578" t="s">
        <v>3412</v>
      </c>
    </row>
    <row r="5579" spans="3:3">
      <c r="C5579" t="s">
        <v>2</v>
      </c>
    </row>
    <row r="5580" spans="3:3">
      <c r="C5580" t="s">
        <v>2</v>
      </c>
    </row>
    <row r="5581" spans="3:3">
      <c r="C5581" t="s">
        <v>3413</v>
      </c>
    </row>
    <row r="5582" spans="3:3">
      <c r="C5582" t="s">
        <v>1007</v>
      </c>
    </row>
    <row r="5583" spans="3:3">
      <c r="C5583" t="s">
        <v>3414</v>
      </c>
    </row>
    <row r="5584" spans="3:3">
      <c r="C5584" t="s">
        <v>28</v>
      </c>
    </row>
    <row r="5585" spans="3:3">
      <c r="C5585" t="s">
        <v>3415</v>
      </c>
    </row>
    <row r="5586" spans="3:3">
      <c r="C5586" t="s">
        <v>2</v>
      </c>
    </row>
    <row r="5587" spans="3:3">
      <c r="C5587" t="s">
        <v>2</v>
      </c>
    </row>
    <row r="5588" spans="3:3">
      <c r="C5588" t="s">
        <v>3416</v>
      </c>
    </row>
    <row r="5589" spans="3:3">
      <c r="C5589" t="s">
        <v>73</v>
      </c>
    </row>
    <row r="5590" spans="3:3">
      <c r="C5590" t="s">
        <v>3417</v>
      </c>
    </row>
    <row r="5591" spans="3:3">
      <c r="C5591" t="s">
        <v>155</v>
      </c>
    </row>
    <row r="5592" spans="3:3">
      <c r="C5592" t="s">
        <v>299</v>
      </c>
    </row>
    <row r="5593" spans="3:3">
      <c r="C5593" t="s">
        <v>2</v>
      </c>
    </row>
    <row r="5594" spans="3:3">
      <c r="C5594" t="s">
        <v>2</v>
      </c>
    </row>
    <row r="5595" spans="3:3">
      <c r="C5595" t="s">
        <v>3418</v>
      </c>
    </row>
    <row r="5596" spans="3:3">
      <c r="C5596" t="s">
        <v>3419</v>
      </c>
    </row>
    <row r="5597" spans="3:3">
      <c r="C5597" t="s">
        <v>3420</v>
      </c>
    </row>
    <row r="5598" spans="3:3">
      <c r="C5598" t="s">
        <v>156</v>
      </c>
    </row>
    <row r="5599" spans="3:3">
      <c r="C5599" t="s">
        <v>3421</v>
      </c>
    </row>
    <row r="5600" spans="3:3">
      <c r="C5600" t="s">
        <v>2</v>
      </c>
    </row>
    <row r="5601" spans="3:3">
      <c r="C5601" t="s">
        <v>2</v>
      </c>
    </row>
    <row r="5602" spans="3:3">
      <c r="C5602" t="s">
        <v>661</v>
      </c>
    </row>
    <row r="5603" spans="3:3">
      <c r="C5603" t="s">
        <v>1550</v>
      </c>
    </row>
    <row r="5604" spans="3:3">
      <c r="C5604" t="s">
        <v>1551</v>
      </c>
    </row>
    <row r="5605" spans="3:3">
      <c r="C5605" t="s">
        <v>1552</v>
      </c>
    </row>
    <row r="5606" spans="3:3">
      <c r="C5606" t="s">
        <v>806</v>
      </c>
    </row>
    <row r="5607" spans="3:3">
      <c r="C5607" t="s">
        <v>807</v>
      </c>
    </row>
    <row r="5608" spans="3:3">
      <c r="C5608" t="s">
        <v>808</v>
      </c>
    </row>
    <row r="5609" spans="3:3">
      <c r="C5609" t="s">
        <v>1553</v>
      </c>
    </row>
    <row r="5610" spans="3:3">
      <c r="C5610" t="s">
        <v>813</v>
      </c>
    </row>
    <row r="5611" spans="3:3">
      <c r="C5611" t="s">
        <v>814</v>
      </c>
    </row>
    <row r="5612" spans="3:3">
      <c r="C5612" t="s">
        <v>319</v>
      </c>
    </row>
    <row r="5613" spans="3:3">
      <c r="C5613" t="s">
        <v>320</v>
      </c>
    </row>
    <row r="5614" spans="3:3">
      <c r="C5614">
        <v>107</v>
      </c>
    </row>
    <row r="5615" spans="3:3">
      <c r="C5615" t="s">
        <v>829</v>
      </c>
    </row>
    <row r="5616" spans="3:3">
      <c r="C5616" t="s">
        <v>1554</v>
      </c>
    </row>
    <row r="5617" spans="3:3">
      <c r="C5617" t="s">
        <v>662</v>
      </c>
    </row>
    <row r="5618" spans="3:3">
      <c r="C5618" t="s">
        <v>809</v>
      </c>
    </row>
    <row r="5619" spans="3:3">
      <c r="C5619" t="s">
        <v>3422</v>
      </c>
    </row>
    <row r="5620" spans="3:3">
      <c r="C5620" t="s">
        <v>3423</v>
      </c>
    </row>
    <row r="5621" spans="3:3">
      <c r="C5621" t="s">
        <v>3424</v>
      </c>
    </row>
    <row r="5622" spans="3:3">
      <c r="C5622" t="s">
        <v>663</v>
      </c>
    </row>
    <row r="5623" spans="3:3">
      <c r="C5623" t="s">
        <v>1555</v>
      </c>
    </row>
    <row r="5624" spans="3:3">
      <c r="C5624" t="s">
        <v>664</v>
      </c>
    </row>
    <row r="5625" spans="3:3">
      <c r="C5625" t="s">
        <v>300</v>
      </c>
    </row>
    <row r="5626" spans="3:3">
      <c r="C5626" t="s">
        <v>301</v>
      </c>
    </row>
    <row r="5627" spans="3:3">
      <c r="C5627" t="s">
        <v>302</v>
      </c>
    </row>
    <row r="5628" spans="3:3">
      <c r="C5628" t="s">
        <v>10</v>
      </c>
    </row>
    <row r="5629" spans="3:3">
      <c r="C5629" t="s">
        <v>196</v>
      </c>
    </row>
    <row r="5630" spans="3:3">
      <c r="C5630" t="s">
        <v>303</v>
      </c>
    </row>
    <row r="5631" spans="3:3">
      <c r="C5631" t="s">
        <v>3425</v>
      </c>
    </row>
    <row r="5632" spans="3:3">
      <c r="C5632" t="s">
        <v>3426</v>
      </c>
    </row>
    <row r="5633" spans="3:3">
      <c r="C5633" t="s">
        <v>198</v>
      </c>
    </row>
    <row r="5634" spans="3:3">
      <c r="C5634" t="s">
        <v>304</v>
      </c>
    </row>
    <row r="5635" spans="3:3">
      <c r="C5635" t="s">
        <v>3427</v>
      </c>
    </row>
    <row r="5636" spans="3:3">
      <c r="C5636" t="s">
        <v>3428</v>
      </c>
    </row>
    <row r="5637" spans="3:3">
      <c r="C5637" t="s">
        <v>200</v>
      </c>
    </row>
    <row r="5638" spans="3:3">
      <c r="C5638" t="s">
        <v>305</v>
      </c>
    </row>
    <row r="5639" spans="3:3">
      <c r="C5639" t="s">
        <v>306</v>
      </c>
    </row>
    <row r="5640" spans="3:3">
      <c r="C5640" t="s">
        <v>3429</v>
      </c>
    </row>
    <row r="5641" spans="3:3">
      <c r="C5641" t="s">
        <v>406</v>
      </c>
    </row>
    <row r="5642" spans="3:3">
      <c r="C5642" t="s">
        <v>2</v>
      </c>
    </row>
    <row r="5643" spans="3:3">
      <c r="C5643" t="s">
        <v>3430</v>
      </c>
    </row>
    <row r="5644" spans="3:3">
      <c r="C5644" t="s">
        <v>3431</v>
      </c>
    </row>
    <row r="5645" spans="3:3">
      <c r="C5645" t="s">
        <v>307</v>
      </c>
    </row>
    <row r="5646" spans="3:3">
      <c r="C5646" t="s">
        <v>307</v>
      </c>
    </row>
    <row r="5647" spans="3:3">
      <c r="C5647" t="s">
        <v>1556</v>
      </c>
    </row>
    <row r="5648" spans="3:3">
      <c r="C5648" t="s">
        <v>3432</v>
      </c>
    </row>
    <row r="5649" spans="3:3">
      <c r="C5649" t="s">
        <v>665</v>
      </c>
    </row>
    <row r="5650" spans="3:3">
      <c r="C5650" t="s">
        <v>3433</v>
      </c>
    </row>
    <row r="5651" spans="3:3">
      <c r="C5651" t="s">
        <v>1557</v>
      </c>
    </row>
    <row r="5652" spans="3:3">
      <c r="C5652" t="s">
        <v>3434</v>
      </c>
    </row>
    <row r="5653" spans="3:3">
      <c r="C5653" t="s">
        <v>813</v>
      </c>
    </row>
    <row r="5654" spans="3:3">
      <c r="C5654" t="s">
        <v>814</v>
      </c>
    </row>
    <row r="5655" spans="3:3">
      <c r="C5655" t="s">
        <v>319</v>
      </c>
    </row>
    <row r="5656" spans="3:3">
      <c r="C5656" t="s">
        <v>320</v>
      </c>
    </row>
    <row r="5657" spans="3:3">
      <c r="C5657">
        <v>108</v>
      </c>
    </row>
    <row r="5658" spans="3:3">
      <c r="C5658" t="s">
        <v>829</v>
      </c>
    </row>
    <row r="5659" spans="3:3">
      <c r="C5659" t="s">
        <v>1558</v>
      </c>
    </row>
    <row r="5660" spans="3:3">
      <c r="C5660" t="s">
        <v>3435</v>
      </c>
    </row>
    <row r="5661" spans="3:3">
      <c r="C5661" t="s">
        <v>666</v>
      </c>
    </row>
    <row r="5662" spans="3:3">
      <c r="C5662" t="s">
        <v>1559</v>
      </c>
    </row>
    <row r="5663" spans="3:3">
      <c r="C5663" t="s">
        <v>1560</v>
      </c>
    </row>
    <row r="5664" spans="3:3">
      <c r="C5664" t="s">
        <v>1561</v>
      </c>
    </row>
    <row r="5665" spans="3:3">
      <c r="C5665" t="s">
        <v>3436</v>
      </c>
    </row>
    <row r="5666" spans="3:3">
      <c r="C5666" t="s">
        <v>3437</v>
      </c>
    </row>
    <row r="5667" spans="3:3">
      <c r="C5667" t="s">
        <v>3438</v>
      </c>
    </row>
    <row r="5668" spans="3:3">
      <c r="C5668" t="s">
        <v>3439</v>
      </c>
    </row>
    <row r="5669" spans="3:3">
      <c r="C5669" t="s">
        <v>1562</v>
      </c>
    </row>
    <row r="5670" spans="3:3">
      <c r="C5670" t="s">
        <v>3440</v>
      </c>
    </row>
    <row r="5671" spans="3:3">
      <c r="C5671" t="s">
        <v>3441</v>
      </c>
    </row>
    <row r="5672" spans="3:3">
      <c r="C5672" t="s">
        <v>1563</v>
      </c>
    </row>
    <row r="5673" spans="3:3">
      <c r="C5673" t="s">
        <v>3442</v>
      </c>
    </row>
    <row r="5674" spans="3:3">
      <c r="C5674" t="s">
        <v>813</v>
      </c>
    </row>
    <row r="5675" spans="3:3">
      <c r="C5675" t="s">
        <v>814</v>
      </c>
    </row>
    <row r="5676" spans="3:3">
      <c r="C5676" t="s">
        <v>319</v>
      </c>
    </row>
    <row r="5677" spans="3:3">
      <c r="C5677" t="s">
        <v>320</v>
      </c>
    </row>
    <row r="5678" spans="3:3">
      <c r="C5678">
        <v>109</v>
      </c>
    </row>
    <row r="5679" spans="3:3">
      <c r="C5679" t="s">
        <v>829</v>
      </c>
    </row>
    <row r="5680" spans="3:3">
      <c r="C5680" t="s">
        <v>3443</v>
      </c>
    </row>
    <row r="5681" spans="3:3">
      <c r="C5681" t="s">
        <v>1564</v>
      </c>
    </row>
    <row r="5682" spans="3:3">
      <c r="C5682" t="s">
        <v>667</v>
      </c>
    </row>
    <row r="5683" spans="3:3">
      <c r="C5683" t="s">
        <v>1565</v>
      </c>
    </row>
    <row r="5684" spans="3:3">
      <c r="C5684" t="s">
        <v>1566</v>
      </c>
    </row>
    <row r="5685" spans="3:3">
      <c r="C5685" t="s">
        <v>3444</v>
      </c>
    </row>
    <row r="5686" spans="3:3">
      <c r="C5686" t="s">
        <v>1567</v>
      </c>
    </row>
    <row r="5687" spans="3:3">
      <c r="C5687" t="s">
        <v>78</v>
      </c>
    </row>
    <row r="5688" spans="3:3">
      <c r="C5688" t="s">
        <v>10</v>
      </c>
    </row>
    <row r="5689" spans="3:3">
      <c r="C5689" t="s">
        <v>1568</v>
      </c>
    </row>
    <row r="5690" spans="3:3">
      <c r="C5690" t="s">
        <v>1737</v>
      </c>
    </row>
    <row r="5691" spans="3:3">
      <c r="C5691" t="s">
        <v>896</v>
      </c>
    </row>
    <row r="5692" spans="3:3">
      <c r="C5692" t="s">
        <v>1569</v>
      </c>
    </row>
    <row r="5693" spans="3:3">
      <c r="C5693" t="s">
        <v>3445</v>
      </c>
    </row>
    <row r="5694" spans="3:3">
      <c r="C5694" t="s">
        <v>1732</v>
      </c>
    </row>
    <row r="5695" spans="3:3">
      <c r="C5695" t="s">
        <v>3446</v>
      </c>
    </row>
    <row r="5696" spans="3:3">
      <c r="C5696" t="s">
        <v>3447</v>
      </c>
    </row>
    <row r="5697" spans="3:3">
      <c r="C5697" t="s">
        <v>78</v>
      </c>
    </row>
    <row r="5698" spans="3:3">
      <c r="C5698" t="s">
        <v>10</v>
      </c>
    </row>
    <row r="5699" spans="3:3">
      <c r="C5699" t="s">
        <v>1570</v>
      </c>
    </row>
    <row r="5700" spans="3:3">
      <c r="C5700" t="s">
        <v>3448</v>
      </c>
    </row>
    <row r="5701" spans="3:3">
      <c r="C5701" t="s">
        <v>1719</v>
      </c>
    </row>
    <row r="5702" spans="3:3">
      <c r="C5702" t="s">
        <v>1568</v>
      </c>
    </row>
    <row r="5703" spans="3:3">
      <c r="C5703" t="s">
        <v>1737</v>
      </c>
    </row>
    <row r="5704" spans="3:3">
      <c r="C5704" t="s">
        <v>896</v>
      </c>
    </row>
    <row r="5705" spans="3:3">
      <c r="C5705" t="s">
        <v>1571</v>
      </c>
    </row>
    <row r="5706" spans="3:3">
      <c r="C5706" t="s">
        <v>3449</v>
      </c>
    </row>
    <row r="5707" spans="3:3">
      <c r="C5707" t="s">
        <v>1749</v>
      </c>
    </row>
    <row r="5708" spans="3:3">
      <c r="C5708" t="s">
        <v>1572</v>
      </c>
    </row>
    <row r="5709" spans="3:3">
      <c r="C5709" t="s">
        <v>3450</v>
      </c>
    </row>
    <row r="5710" spans="3:3">
      <c r="C5710" t="s">
        <v>3451</v>
      </c>
    </row>
    <row r="5711" spans="3:3">
      <c r="C5711" t="s">
        <v>3452</v>
      </c>
    </row>
    <row r="5712" spans="3:3">
      <c r="C5712" t="s">
        <v>3453</v>
      </c>
    </row>
    <row r="5713" spans="3:3">
      <c r="C5713" t="s">
        <v>813</v>
      </c>
    </row>
    <row r="5714" spans="3:3">
      <c r="C5714" t="s">
        <v>814</v>
      </c>
    </row>
    <row r="5715" spans="3:3">
      <c r="C5715" t="s">
        <v>319</v>
      </c>
    </row>
    <row r="5716" spans="3:3">
      <c r="C5716" t="s">
        <v>320</v>
      </c>
    </row>
    <row r="5717" spans="3:3">
      <c r="C5717">
        <v>110</v>
      </c>
    </row>
    <row r="5718" spans="3:3">
      <c r="C5718" t="s">
        <v>829</v>
      </c>
    </row>
    <row r="5719" spans="3:3">
      <c r="C5719" t="s">
        <v>3454</v>
      </c>
    </row>
    <row r="5720" spans="3:3">
      <c r="C5720" t="s">
        <v>3455</v>
      </c>
    </row>
    <row r="5721" spans="3:3">
      <c r="C5721" t="s">
        <v>813</v>
      </c>
    </row>
    <row r="5722" spans="3:3">
      <c r="C5722" t="s">
        <v>814</v>
      </c>
    </row>
    <row r="5723" spans="3:3">
      <c r="C5723" t="s">
        <v>319</v>
      </c>
    </row>
    <row r="5724" spans="3:3">
      <c r="C5724" t="s">
        <v>320</v>
      </c>
    </row>
    <row r="5725" spans="3:3">
      <c r="C5725">
        <v>111</v>
      </c>
    </row>
    <row r="5726" spans="3:3">
      <c r="C5726" t="s">
        <v>829</v>
      </c>
    </row>
    <row r="5727" spans="3:3">
      <c r="C5727" t="s">
        <v>1573</v>
      </c>
    </row>
    <row r="5728" spans="3:3">
      <c r="C5728" t="s">
        <v>1574</v>
      </c>
    </row>
    <row r="5729" spans="3:3">
      <c r="C5729" t="s">
        <v>668</v>
      </c>
    </row>
    <row r="5730" spans="3:3">
      <c r="C5730" t="s">
        <v>1575</v>
      </c>
    </row>
    <row r="5731" spans="3:3">
      <c r="C5731" t="s">
        <v>1576</v>
      </c>
    </row>
    <row r="5732" spans="3:3">
      <c r="C5732" t="s">
        <v>1577</v>
      </c>
    </row>
    <row r="5733" spans="3:3">
      <c r="C5733" t="s">
        <v>1578</v>
      </c>
    </row>
    <row r="5734" spans="3:3">
      <c r="C5734" t="s">
        <v>3456</v>
      </c>
    </row>
    <row r="5735" spans="3:3">
      <c r="C5735" t="s">
        <v>3457</v>
      </c>
    </row>
    <row r="5736" spans="3:3">
      <c r="C5736" t="s">
        <v>1579</v>
      </c>
    </row>
    <row r="5737" spans="3:3">
      <c r="C5737" t="s">
        <v>3458</v>
      </c>
    </row>
    <row r="5738" spans="3:3">
      <c r="C5738" t="s">
        <v>669</v>
      </c>
    </row>
    <row r="5739" spans="3:3">
      <c r="C5739" t="s">
        <v>3459</v>
      </c>
    </row>
    <row r="5740" spans="3:3">
      <c r="C5740" t="s">
        <v>813</v>
      </c>
    </row>
    <row r="5741" spans="3:3">
      <c r="C5741" t="s">
        <v>814</v>
      </c>
    </row>
    <row r="5742" spans="3:3">
      <c r="C5742" t="s">
        <v>319</v>
      </c>
    </row>
    <row r="5743" spans="3:3">
      <c r="C5743" t="s">
        <v>320</v>
      </c>
    </row>
    <row r="5744" spans="3:3">
      <c r="C5744">
        <v>112</v>
      </c>
    </row>
    <row r="5745" spans="3:3">
      <c r="C5745" t="s">
        <v>829</v>
      </c>
    </row>
    <row r="5746" spans="3:3">
      <c r="C5746" t="s">
        <v>1580</v>
      </c>
    </row>
    <row r="5747" spans="3:3">
      <c r="C5747" t="s">
        <v>1581</v>
      </c>
    </row>
    <row r="5748" spans="3:3">
      <c r="C5748" t="s">
        <v>78</v>
      </c>
    </row>
    <row r="5749" spans="3:3">
      <c r="C5749" t="s">
        <v>10</v>
      </c>
    </row>
    <row r="5750" spans="3:3">
      <c r="C5750" t="s">
        <v>3460</v>
      </c>
    </row>
    <row r="5751" spans="3:3">
      <c r="C5751" t="s">
        <v>3461</v>
      </c>
    </row>
    <row r="5752" spans="3:3">
      <c r="C5752" t="s">
        <v>406</v>
      </c>
    </row>
    <row r="5753" spans="3:3">
      <c r="C5753" t="s">
        <v>3462</v>
      </c>
    </row>
    <row r="5754" spans="3:3">
      <c r="C5754" t="s">
        <v>83</v>
      </c>
    </row>
    <row r="5755" spans="3:3">
      <c r="C5755" t="s">
        <v>3463</v>
      </c>
    </row>
    <row r="5756" spans="3:3">
      <c r="C5756" t="s">
        <v>1582</v>
      </c>
    </row>
    <row r="5757" spans="3:3">
      <c r="C5757" t="s">
        <v>3464</v>
      </c>
    </row>
    <row r="5758" spans="3:3">
      <c r="C5758" t="s">
        <v>1583</v>
      </c>
    </row>
    <row r="5759" spans="3:3">
      <c r="C5759" t="s">
        <v>393</v>
      </c>
    </row>
    <row r="5760" spans="3:3">
      <c r="C5760" t="s">
        <v>47</v>
      </c>
    </row>
    <row r="5761" spans="3:3">
      <c r="C5761" t="s">
        <v>48</v>
      </c>
    </row>
    <row r="5762" spans="3:3">
      <c r="C5762" t="s">
        <v>3465</v>
      </c>
    </row>
    <row r="5763" spans="3:3">
      <c r="C5763" t="s">
        <v>3466</v>
      </c>
    </row>
    <row r="5764" spans="3:3">
      <c r="C5764" t="s">
        <v>3467</v>
      </c>
    </row>
    <row r="5765" spans="3:3">
      <c r="C5765" t="s">
        <v>3468</v>
      </c>
    </row>
    <row r="5766" spans="3:3">
      <c r="C5766" t="s">
        <v>3469</v>
      </c>
    </row>
    <row r="5767" spans="3:3">
      <c r="C5767" t="s">
        <v>1584</v>
      </c>
    </row>
    <row r="5768" spans="3:3">
      <c r="C5768" t="s">
        <v>3470</v>
      </c>
    </row>
    <row r="5769" spans="3:3">
      <c r="C5769" t="s">
        <v>670</v>
      </c>
    </row>
    <row r="5770" spans="3:3">
      <c r="C5770" t="s">
        <v>3471</v>
      </c>
    </row>
    <row r="5771" spans="3:3">
      <c r="C5771" t="s">
        <v>671</v>
      </c>
    </row>
    <row r="5772" spans="3:3">
      <c r="C5772" t="s">
        <v>3472</v>
      </c>
    </row>
    <row r="5773" spans="3:3">
      <c r="C5773" t="s">
        <v>3473</v>
      </c>
    </row>
    <row r="5774" spans="3:3">
      <c r="C5774" t="s">
        <v>3474</v>
      </c>
    </row>
    <row r="5775" spans="3:3">
      <c r="C5775" t="s">
        <v>813</v>
      </c>
    </row>
    <row r="5776" spans="3:3">
      <c r="C5776" t="s">
        <v>814</v>
      </c>
    </row>
    <row r="5777" spans="3:3">
      <c r="C5777" t="s">
        <v>319</v>
      </c>
    </row>
    <row r="5778" spans="3:3">
      <c r="C5778" t="s">
        <v>320</v>
      </c>
    </row>
    <row r="5779" spans="3:3">
      <c r="C5779">
        <v>113</v>
      </c>
    </row>
    <row r="5780" spans="3:3">
      <c r="C5780" t="s">
        <v>829</v>
      </c>
    </row>
    <row r="5781" spans="3:3">
      <c r="C5781" t="s">
        <v>672</v>
      </c>
    </row>
    <row r="5782" spans="3:3">
      <c r="C5782" t="s">
        <v>3475</v>
      </c>
    </row>
    <row r="5783" spans="3:3">
      <c r="C5783" t="s">
        <v>3476</v>
      </c>
    </row>
    <row r="5784" spans="3:3">
      <c r="C5784" t="s">
        <v>1585</v>
      </c>
    </row>
    <row r="5785" spans="3:3">
      <c r="C5785" t="s">
        <v>393</v>
      </c>
    </row>
    <row r="5786" spans="3:3">
      <c r="C5786" t="s">
        <v>47</v>
      </c>
    </row>
    <row r="5787" spans="3:3">
      <c r="C5787" t="s">
        <v>48</v>
      </c>
    </row>
    <row r="5788" spans="3:3">
      <c r="C5788" t="s">
        <v>1586</v>
      </c>
    </row>
    <row r="5789" spans="3:3">
      <c r="C5789" t="s">
        <v>3477</v>
      </c>
    </row>
    <row r="5790" spans="3:3">
      <c r="C5790" t="s">
        <v>3478</v>
      </c>
    </row>
    <row r="5791" spans="3:3">
      <c r="C5791" t="s">
        <v>3479</v>
      </c>
    </row>
    <row r="5792" spans="3:3">
      <c r="C5792" t="s">
        <v>3480</v>
      </c>
    </row>
    <row r="5793" spans="3:3">
      <c r="C5793" t="s">
        <v>673</v>
      </c>
    </row>
    <row r="5794" spans="3:3">
      <c r="C5794" t="s">
        <v>674</v>
      </c>
    </row>
    <row r="5795" spans="3:3">
      <c r="C5795" t="s">
        <v>1587</v>
      </c>
    </row>
    <row r="5796" spans="3:3">
      <c r="C5796" t="s">
        <v>1588</v>
      </c>
    </row>
    <row r="5797" spans="3:3">
      <c r="C5797" t="s">
        <v>393</v>
      </c>
    </row>
    <row r="5798" spans="3:3">
      <c r="C5798" t="s">
        <v>309</v>
      </c>
    </row>
    <row r="5799" spans="3:3">
      <c r="C5799" t="s">
        <v>310</v>
      </c>
    </row>
    <row r="5800" spans="3:3">
      <c r="C5800" t="s">
        <v>675</v>
      </c>
    </row>
    <row r="5801" spans="3:3">
      <c r="C5801" t="s">
        <v>3481</v>
      </c>
    </row>
    <row r="5802" spans="3:3">
      <c r="C5802" t="s">
        <v>3482</v>
      </c>
    </row>
    <row r="5803" spans="3:3">
      <c r="C5803" t="s">
        <v>3483</v>
      </c>
    </row>
    <row r="5804" spans="3:3">
      <c r="C5804" t="s">
        <v>3484</v>
      </c>
    </row>
    <row r="5805" spans="3:3">
      <c r="C5805" t="s">
        <v>311</v>
      </c>
    </row>
    <row r="5806" spans="3:3">
      <c r="C5806" t="s">
        <v>676</v>
      </c>
    </row>
    <row r="5807" spans="3:3">
      <c r="C5807" t="s">
        <v>3485</v>
      </c>
    </row>
    <row r="5808" spans="3:3">
      <c r="C5808" t="s">
        <v>3486</v>
      </c>
    </row>
    <row r="5809" spans="3:3">
      <c r="C5809" t="s">
        <v>3487</v>
      </c>
    </row>
    <row r="5810" spans="3:3">
      <c r="C5810" t="s">
        <v>677</v>
      </c>
    </row>
    <row r="5811" spans="3:3">
      <c r="C5811" t="s">
        <v>813</v>
      </c>
    </row>
    <row r="5812" spans="3:3">
      <c r="C5812" t="s">
        <v>814</v>
      </c>
    </row>
    <row r="5813" spans="3:3">
      <c r="C5813" t="s">
        <v>319</v>
      </c>
    </row>
    <row r="5814" spans="3:3">
      <c r="C5814" t="s">
        <v>320</v>
      </c>
    </row>
    <row r="5815" spans="3:3">
      <c r="C5815">
        <v>114</v>
      </c>
    </row>
    <row r="5816" spans="3:3">
      <c r="C5816" t="s">
        <v>829</v>
      </c>
    </row>
    <row r="5817" spans="3:3">
      <c r="C5817" t="s">
        <v>1589</v>
      </c>
    </row>
    <row r="5818" spans="3:3">
      <c r="C5818" t="s">
        <v>1590</v>
      </c>
    </row>
    <row r="5819" spans="3:3">
      <c r="C5819" t="s">
        <v>393</v>
      </c>
    </row>
    <row r="5820" spans="3:3">
      <c r="C5820" t="s">
        <v>309</v>
      </c>
    </row>
    <row r="5821" spans="3:3">
      <c r="C5821" t="s">
        <v>310</v>
      </c>
    </row>
    <row r="5822" spans="3:3">
      <c r="C5822" t="s">
        <v>678</v>
      </c>
    </row>
    <row r="5823" spans="3:3">
      <c r="C5823" t="s">
        <v>312</v>
      </c>
    </row>
    <row r="5824" spans="3:3">
      <c r="C5824" t="s">
        <v>313</v>
      </c>
    </row>
    <row r="5825" spans="3:3">
      <c r="C5825" t="s">
        <v>312</v>
      </c>
    </row>
    <row r="5826" spans="3:3">
      <c r="C5826" t="s">
        <v>679</v>
      </c>
    </row>
    <row r="5827" spans="3:3">
      <c r="C5827" t="s">
        <v>680</v>
      </c>
    </row>
    <row r="5828" spans="3:3">
      <c r="C5828" t="s">
        <v>1591</v>
      </c>
    </row>
    <row r="5829" spans="3:3">
      <c r="C5829" t="s">
        <v>1592</v>
      </c>
    </row>
    <row r="5830" spans="3:3">
      <c r="C5830" t="s">
        <v>393</v>
      </c>
    </row>
    <row r="5831" spans="3:3">
      <c r="C5831" t="s">
        <v>47</v>
      </c>
    </row>
    <row r="5832" spans="3:3">
      <c r="C5832" t="s">
        <v>48</v>
      </c>
    </row>
    <row r="5833" spans="3:3">
      <c r="C5833" t="s">
        <v>3488</v>
      </c>
    </row>
    <row r="5834" spans="3:3">
      <c r="C5834" t="s">
        <v>3489</v>
      </c>
    </row>
    <row r="5835" spans="3:3">
      <c r="C5835" t="s">
        <v>3490</v>
      </c>
    </row>
    <row r="5836" spans="3:3">
      <c r="C5836" t="s">
        <v>3491</v>
      </c>
    </row>
    <row r="5837" spans="3:3">
      <c r="C5837" t="s">
        <v>546</v>
      </c>
    </row>
    <row r="5838" spans="3:3">
      <c r="C5838" t="s">
        <v>3492</v>
      </c>
    </row>
    <row r="5839" spans="3:3">
      <c r="C5839" t="s">
        <v>69</v>
      </c>
    </row>
    <row r="5840" spans="3:3">
      <c r="C5840" t="s">
        <v>3493</v>
      </c>
    </row>
    <row r="5841" spans="3:3">
      <c r="C5841" t="s">
        <v>83</v>
      </c>
    </row>
    <row r="5842" spans="3:3">
      <c r="C5842" t="s">
        <v>3494</v>
      </c>
    </row>
    <row r="5843" spans="3:3">
      <c r="C5843" t="s">
        <v>1593</v>
      </c>
    </row>
    <row r="5844" spans="3:3">
      <c r="C5844" t="s">
        <v>393</v>
      </c>
    </row>
    <row r="5845" spans="3:3">
      <c r="C5845" t="s">
        <v>47</v>
      </c>
    </row>
    <row r="5846" spans="3:3">
      <c r="C5846" t="s">
        <v>48</v>
      </c>
    </row>
    <row r="5847" spans="3:3">
      <c r="C5847" t="s">
        <v>3495</v>
      </c>
    </row>
    <row r="5848" spans="3:3">
      <c r="C5848" t="s">
        <v>3496</v>
      </c>
    </row>
    <row r="5849" spans="3:3">
      <c r="C5849" t="s">
        <v>83</v>
      </c>
    </row>
    <row r="5850" spans="3:3">
      <c r="C5850" t="s">
        <v>3496</v>
      </c>
    </row>
    <row r="5851" spans="3:3">
      <c r="C5851" t="s">
        <v>3497</v>
      </c>
    </row>
    <row r="5852" spans="3:3">
      <c r="C5852" t="s">
        <v>1594</v>
      </c>
    </row>
    <row r="5853" spans="3:3">
      <c r="C5853" t="s">
        <v>3498</v>
      </c>
    </row>
    <row r="5854" spans="3:3">
      <c r="C5854" t="s">
        <v>1595</v>
      </c>
    </row>
    <row r="5855" spans="3:3">
      <c r="C5855" t="s">
        <v>681</v>
      </c>
    </row>
    <row r="5856" spans="3:3">
      <c r="C5856" t="s">
        <v>3499</v>
      </c>
    </row>
    <row r="5857" spans="3:3">
      <c r="C5857" t="s">
        <v>3500</v>
      </c>
    </row>
    <row r="5858" spans="3:3">
      <c r="C5858" t="s">
        <v>3501</v>
      </c>
    </row>
    <row r="5859" spans="3:3">
      <c r="C5859" t="s">
        <v>813</v>
      </c>
    </row>
    <row r="5860" spans="3:3">
      <c r="C5860" t="s">
        <v>814</v>
      </c>
    </row>
    <row r="5861" spans="3:3">
      <c r="C5861" t="s">
        <v>319</v>
      </c>
    </row>
    <row r="5862" spans="3:3">
      <c r="C5862" t="s">
        <v>320</v>
      </c>
    </row>
    <row r="5863" spans="3:3">
      <c r="C5863">
        <v>115</v>
      </c>
    </row>
    <row r="5864" spans="3:3">
      <c r="C5864" t="s">
        <v>829</v>
      </c>
    </row>
    <row r="5865" spans="3:3">
      <c r="C5865" t="s">
        <v>1596</v>
      </c>
    </row>
    <row r="5866" spans="3:3">
      <c r="C5866" t="s">
        <v>393</v>
      </c>
    </row>
    <row r="5867" spans="3:3">
      <c r="C5867" t="s">
        <v>47</v>
      </c>
    </row>
    <row r="5868" spans="3:3">
      <c r="C5868" t="s">
        <v>48</v>
      </c>
    </row>
    <row r="5869" spans="3:3">
      <c r="C5869" t="s">
        <v>3502</v>
      </c>
    </row>
    <row r="5870" spans="3:3">
      <c r="C5870" t="s">
        <v>3503</v>
      </c>
    </row>
    <row r="5871" spans="3:3">
      <c r="C5871" t="s">
        <v>3504</v>
      </c>
    </row>
    <row r="5872" spans="3:3">
      <c r="C5872" t="s">
        <v>3505</v>
      </c>
    </row>
    <row r="5873" spans="3:3">
      <c r="C5873" t="s">
        <v>3506</v>
      </c>
    </row>
    <row r="5874" spans="3:3">
      <c r="C5874" t="s">
        <v>3507</v>
      </c>
    </row>
    <row r="5875" spans="3:3">
      <c r="C5875" t="s">
        <v>3508</v>
      </c>
    </row>
    <row r="5876" spans="3:3">
      <c r="C5876" t="s">
        <v>3509</v>
      </c>
    </row>
    <row r="5877" spans="3:3">
      <c r="C5877" t="s">
        <v>3510</v>
      </c>
    </row>
    <row r="5878" spans="3:3">
      <c r="C5878" t="s">
        <v>3511</v>
      </c>
    </row>
    <row r="5879" spans="3:3">
      <c r="C5879" t="s">
        <v>3512</v>
      </c>
    </row>
    <row r="5880" spans="3:3">
      <c r="C5880" t="s">
        <v>3513</v>
      </c>
    </row>
    <row r="5881" spans="3:3">
      <c r="C5881" t="s">
        <v>3514</v>
      </c>
    </row>
    <row r="5882" spans="3:3">
      <c r="C5882" t="s">
        <v>3505</v>
      </c>
    </row>
    <row r="5883" spans="3:3">
      <c r="C5883" t="s">
        <v>3514</v>
      </c>
    </row>
    <row r="5884" spans="3:3">
      <c r="C5884" t="s">
        <v>83</v>
      </c>
    </row>
    <row r="5885" spans="3:3">
      <c r="C5885" t="s">
        <v>3515</v>
      </c>
    </row>
    <row r="5886" spans="3:3">
      <c r="C5886" t="s">
        <v>3516</v>
      </c>
    </row>
    <row r="5887" spans="3:3">
      <c r="C5887" t="s">
        <v>3517</v>
      </c>
    </row>
    <row r="5888" spans="3:3">
      <c r="C5888" t="s">
        <v>1597</v>
      </c>
    </row>
    <row r="5889" spans="3:3">
      <c r="C5889" t="s">
        <v>682</v>
      </c>
    </row>
    <row r="5890" spans="3:3">
      <c r="C5890" t="s">
        <v>1598</v>
      </c>
    </row>
    <row r="5891" spans="3:3">
      <c r="C5891" t="s">
        <v>3518</v>
      </c>
    </row>
    <row r="5892" spans="3:3">
      <c r="C5892" t="s">
        <v>683</v>
      </c>
    </row>
    <row r="5893" spans="3:3">
      <c r="C5893" t="s">
        <v>684</v>
      </c>
    </row>
    <row r="5894" spans="3:3">
      <c r="C5894" t="s">
        <v>685</v>
      </c>
    </row>
    <row r="5895" spans="3:3">
      <c r="C5895" t="s">
        <v>3519</v>
      </c>
    </row>
    <row r="5896" spans="3:3">
      <c r="C5896" t="s">
        <v>3520</v>
      </c>
    </row>
    <row r="5897" spans="3:3">
      <c r="C5897" t="s">
        <v>813</v>
      </c>
    </row>
    <row r="5898" spans="3:3">
      <c r="C5898" t="s">
        <v>814</v>
      </c>
    </row>
    <row r="5899" spans="3:3">
      <c r="C5899" t="s">
        <v>319</v>
      </c>
    </row>
    <row r="5900" spans="3:3">
      <c r="C5900" t="s">
        <v>320</v>
      </c>
    </row>
    <row r="5901" spans="3:3">
      <c r="C5901">
        <v>116</v>
      </c>
    </row>
    <row r="5902" spans="3:3">
      <c r="C5902" t="s">
        <v>829</v>
      </c>
    </row>
    <row r="5903" spans="3:3">
      <c r="C5903" t="s">
        <v>314</v>
      </c>
    </row>
    <row r="5904" spans="3:3">
      <c r="C5904" t="s">
        <v>3521</v>
      </c>
    </row>
    <row r="5905" spans="3:3">
      <c r="C5905" t="s">
        <v>3522</v>
      </c>
    </row>
    <row r="5906" spans="3:3">
      <c r="C5906" t="s">
        <v>3523</v>
      </c>
    </row>
    <row r="5907" spans="3:3">
      <c r="C5907" t="s">
        <v>1599</v>
      </c>
    </row>
    <row r="5908" spans="3:3">
      <c r="C5908" t="s">
        <v>3524</v>
      </c>
    </row>
    <row r="5909" spans="3:3">
      <c r="C5909" t="s">
        <v>3525</v>
      </c>
    </row>
    <row r="5910" spans="3:3">
      <c r="C5910" t="s">
        <v>686</v>
      </c>
    </row>
    <row r="5911" spans="3:3">
      <c r="C5911" t="s">
        <v>3526</v>
      </c>
    </row>
    <row r="5912" spans="3:3">
      <c r="C5912" t="s">
        <v>813</v>
      </c>
    </row>
    <row r="5913" spans="3:3">
      <c r="C5913" t="s">
        <v>814</v>
      </c>
    </row>
    <row r="5914" spans="3:3">
      <c r="C5914" t="s">
        <v>319</v>
      </c>
    </row>
    <row r="5915" spans="3:3">
      <c r="C5915" t="s">
        <v>320</v>
      </c>
    </row>
    <row r="5916" spans="3:3">
      <c r="C5916">
        <v>117</v>
      </c>
    </row>
    <row r="5917" spans="3:3">
      <c r="C5917" t="s">
        <v>829</v>
      </c>
    </row>
    <row r="5918" spans="3:3">
      <c r="C5918" t="s">
        <v>1600</v>
      </c>
    </row>
    <row r="5919" spans="3:3">
      <c r="C5919" t="s">
        <v>1601</v>
      </c>
    </row>
    <row r="5920" spans="3:3">
      <c r="C5920" t="s">
        <v>1602</v>
      </c>
    </row>
    <row r="5921" spans="3:3">
      <c r="C5921" t="s">
        <v>3527</v>
      </c>
    </row>
    <row r="5922" spans="3:3">
      <c r="C5922" t="s">
        <v>3528</v>
      </c>
    </row>
    <row r="5923" spans="3:3">
      <c r="C5923" t="s">
        <v>813</v>
      </c>
    </row>
    <row r="5924" spans="3:3">
      <c r="C5924" t="s">
        <v>814</v>
      </c>
    </row>
    <row r="5925" spans="3:3">
      <c r="C5925" t="s">
        <v>319</v>
      </c>
    </row>
    <row r="5926" spans="3:3">
      <c r="C5926" t="s">
        <v>320</v>
      </c>
    </row>
    <row r="5927" spans="3:3">
      <c r="C5927">
        <v>118</v>
      </c>
    </row>
    <row r="5928" spans="3:3">
      <c r="C5928" t="s">
        <v>829</v>
      </c>
    </row>
    <row r="5929" spans="3:3">
      <c r="C5929" t="s">
        <v>1603</v>
      </c>
    </row>
    <row r="5930" spans="3:3">
      <c r="C5930" t="s">
        <v>3529</v>
      </c>
    </row>
    <row r="5931" spans="3:3">
      <c r="C5931" t="s">
        <v>687</v>
      </c>
    </row>
    <row r="5932" spans="3:3">
      <c r="C5932" t="s">
        <v>688</v>
      </c>
    </row>
    <row r="5933" spans="3:3">
      <c r="C5933" t="s">
        <v>315</v>
      </c>
    </row>
    <row r="5934" spans="3:3">
      <c r="C5934" t="s">
        <v>689</v>
      </c>
    </row>
    <row r="5935" spans="3:3">
      <c r="C5935" t="s">
        <v>316</v>
      </c>
    </row>
    <row r="5936" spans="3:3">
      <c r="C5936" t="s">
        <v>317</v>
      </c>
    </row>
    <row r="5937" spans="3:3">
      <c r="C5937" t="s">
        <v>690</v>
      </c>
    </row>
    <row r="5938" spans="3:3">
      <c r="C5938" t="s">
        <v>316</v>
      </c>
    </row>
    <row r="5939" spans="3:3">
      <c r="C5939" t="s">
        <v>691</v>
      </c>
    </row>
    <row r="5940" spans="3:3">
      <c r="C5940" t="s">
        <v>690</v>
      </c>
    </row>
    <row r="5941" spans="3:3">
      <c r="C5941" t="s">
        <v>316</v>
      </c>
    </row>
    <row r="5942" spans="3:3">
      <c r="C5942" t="s">
        <v>318</v>
      </c>
    </row>
    <row r="5943" spans="3:3">
      <c r="C5943" t="s">
        <v>690</v>
      </c>
    </row>
    <row r="5944" spans="3:3">
      <c r="C5944" t="s">
        <v>316</v>
      </c>
    </row>
    <row r="5945" spans="3:3">
      <c r="C5945" t="s">
        <v>692</v>
      </c>
    </row>
    <row r="5946" spans="3:3">
      <c r="C5946" t="s">
        <v>690</v>
      </c>
    </row>
    <row r="5947" spans="3:3">
      <c r="C5947" t="s">
        <v>316</v>
      </c>
    </row>
    <row r="5948" spans="3:3">
      <c r="C5948" t="s">
        <v>693</v>
      </c>
    </row>
    <row r="5949" spans="3:3">
      <c r="C5949" t="s">
        <v>694</v>
      </c>
    </row>
    <row r="5950" spans="3:3">
      <c r="C5950" t="s">
        <v>316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608BC-3357-4129-B385-1BBD07BC4434}">
  <sheetPr codeName="Arkusz5"/>
  <dimension ref="A1:S21"/>
  <sheetViews>
    <sheetView tabSelected="1" zoomScaleNormal="100" workbookViewId="0">
      <selection activeCell="A2" sqref="A2:C2"/>
    </sheetView>
  </sheetViews>
  <sheetFormatPr defaultRowHeight="14.4"/>
  <cols>
    <col min="1" max="1" width="42.21875" customWidth="1"/>
    <col min="5" max="5" width="6" customWidth="1"/>
    <col min="6" max="6" width="13" customWidth="1"/>
    <col min="9" max="9" width="11.6640625" customWidth="1"/>
    <col min="10" max="10" width="11" customWidth="1"/>
    <col min="12" max="12" width="10.44140625" customWidth="1"/>
    <col min="13" max="13" width="25.77734375" customWidth="1"/>
    <col min="14" max="14" width="12.21875" bestFit="1" customWidth="1"/>
    <col min="15" max="15" width="14.21875" bestFit="1" customWidth="1"/>
    <col min="16" max="16" width="9.21875" bestFit="1" customWidth="1"/>
    <col min="17" max="17" width="18.21875" customWidth="1"/>
    <col min="18" max="19" width="18.88671875" bestFit="1" customWidth="1"/>
  </cols>
  <sheetData>
    <row r="1" spans="1:19">
      <c r="A1" s="17" t="s">
        <v>3575</v>
      </c>
      <c r="B1" s="18"/>
    </row>
    <row r="2" spans="1:19">
      <c r="A2" s="15" t="s">
        <v>3576</v>
      </c>
      <c r="B2" s="16"/>
      <c r="E2" s="8" t="s">
        <v>3530</v>
      </c>
      <c r="F2" s="9"/>
      <c r="G2" s="10"/>
    </row>
    <row r="3" spans="1:19">
      <c r="A3" s="2"/>
      <c r="B3" s="2"/>
      <c r="E3" s="3" t="s">
        <v>3531</v>
      </c>
      <c r="G3" s="4"/>
    </row>
    <row r="4" spans="1:19">
      <c r="A4" s="2"/>
      <c r="B4" s="2"/>
      <c r="E4" s="3" t="s">
        <v>3542</v>
      </c>
      <c r="G4" s="4"/>
    </row>
    <row r="5" spans="1:19">
      <c r="A5" s="13" t="s">
        <v>3574</v>
      </c>
      <c r="E5" s="5" t="s">
        <v>3532</v>
      </c>
      <c r="F5" s="6"/>
      <c r="G5" s="7"/>
    </row>
    <row r="6" spans="1:19">
      <c r="A6" s="14" t="s">
        <v>3577</v>
      </c>
      <c r="L6" s="19"/>
      <c r="O6" s="19"/>
      <c r="P6" s="20"/>
      <c r="Q6" s="20"/>
      <c r="R6" s="19"/>
      <c r="S6" s="19"/>
    </row>
    <row r="19" spans="5:10" ht="38.4" customHeight="1">
      <c r="E19" s="12"/>
      <c r="F19" s="11"/>
      <c r="I19" s="12" t="s">
        <v>3559</v>
      </c>
      <c r="J19" s="11" t="b">
        <f ca="1">ISNUMBER(INDIRECT(ADDRESS(6,2,1,TRUE,$E$3)))</f>
        <v>1</v>
      </c>
    </row>
    <row r="20" spans="5:10" ht="43.2">
      <c r="E20" s="12"/>
      <c r="F20" s="11"/>
      <c r="I20" s="12" t="s">
        <v>3560</v>
      </c>
      <c r="J20" s="11" t="b">
        <f ca="1">ISNUMBER(INDIRECT(ADDRESS(6,2,1,TRUE,$E$4)))</f>
        <v>1</v>
      </c>
    </row>
    <row r="21" spans="5:10" ht="57.6">
      <c r="I21" s="12" t="s">
        <v>3573</v>
      </c>
      <c r="J21" s="11" t="b">
        <f ca="1">ISNUMBER(INDIRECT(ADDRESS(6,2,1,TRUE,$E$5)))</f>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Wczytywanie_2023_2024">
                <anchor moveWithCells="1" sizeWithCells="1">
                  <from>
                    <xdr:col>1</xdr:col>
                    <xdr:colOff>586740</xdr:colOff>
                    <xdr:row>8</xdr:row>
                    <xdr:rowOff>0</xdr:rowOff>
                  </from>
                  <to>
                    <xdr:col>4</xdr:col>
                    <xdr:colOff>22860</xdr:colOff>
                    <xdr:row>11</xdr:row>
                    <xdr:rowOff>53340</xdr:rowOff>
                  </to>
                </anchor>
              </controlPr>
            </control>
          </mc:Choice>
        </mc:AlternateContent>
        <mc:AlternateContent xmlns:mc="http://schemas.openxmlformats.org/markup-compatibility/2006">
          <mc:Choice Requires="x14">
            <control shapeId="5124" r:id="rId4" name="Button 4">
              <controlPr defaultSize="0" print="0" autoFill="0" autoPict="0" macro="[0]!Kasowanie">
                <anchor moveWithCells="1" sizeWithCells="1">
                  <from>
                    <xdr:col>4</xdr:col>
                    <xdr:colOff>327660</xdr:colOff>
                    <xdr:row>8</xdr:row>
                    <xdr:rowOff>0</xdr:rowOff>
                  </from>
                  <to>
                    <xdr:col>6</xdr:col>
                    <xdr:colOff>167640</xdr:colOff>
                    <xdr:row>11</xdr:row>
                    <xdr:rowOff>45720</xdr:rowOff>
                  </to>
                </anchor>
              </controlPr>
            </control>
          </mc:Choice>
        </mc:AlternateContent>
        <mc:AlternateContent xmlns:mc="http://schemas.openxmlformats.org/markup-compatibility/2006">
          <mc:Choice Requires="x14">
            <control shapeId="5126" r:id="rId5" name="Button 6">
              <controlPr defaultSize="0" print="0" autoFill="0" autoPict="0" macro="[0]!WCZYTYWANIE_BILANS">
                <anchor moveWithCells="1" sizeWithCells="1">
                  <from>
                    <xdr:col>2</xdr:col>
                    <xdr:colOff>0</xdr:colOff>
                    <xdr:row>13</xdr:row>
                    <xdr:rowOff>83820</xdr:rowOff>
                  </from>
                  <to>
                    <xdr:col>4</xdr:col>
                    <xdr:colOff>15240</xdr:colOff>
                    <xdr:row>16</xdr:row>
                    <xdr:rowOff>0</xdr:rowOff>
                  </to>
                </anchor>
              </controlPr>
            </control>
          </mc:Choice>
        </mc:AlternateContent>
        <mc:AlternateContent xmlns:mc="http://schemas.openxmlformats.org/markup-compatibility/2006">
          <mc:Choice Requires="x14">
            <control shapeId="5127" r:id="rId6" name="Button 7">
              <controlPr defaultSize="0" print="0" autoFill="0" autoPict="0" macro="[0]!kasowanie_bilans_pdf">
                <anchor moveWithCells="1" sizeWithCells="1">
                  <from>
                    <xdr:col>4</xdr:col>
                    <xdr:colOff>304800</xdr:colOff>
                    <xdr:row>13</xdr:row>
                    <xdr:rowOff>91440</xdr:rowOff>
                  </from>
                  <to>
                    <xdr:col>6</xdr:col>
                    <xdr:colOff>129540</xdr:colOff>
                    <xdr:row>15</xdr:row>
                    <xdr:rowOff>175260</xdr:rowOff>
                  </to>
                </anchor>
              </controlPr>
            </control>
          </mc:Choice>
        </mc:AlternateContent>
        <mc:AlternateContent xmlns:mc="http://schemas.openxmlformats.org/markup-compatibility/2006">
          <mc:Choice Requires="x14">
            <control shapeId="5128" r:id="rId7" name="Button 8">
              <controlPr defaultSize="0" print="0" autoFill="0" autoPict="0" macro="[0]!WCZYTYWANIE_RZiS_PDF">
                <anchor moveWithCells="1" sizeWithCells="1">
                  <from>
                    <xdr:col>1</xdr:col>
                    <xdr:colOff>601980</xdr:colOff>
                    <xdr:row>16</xdr:row>
                    <xdr:rowOff>129540</xdr:rowOff>
                  </from>
                  <to>
                    <xdr:col>4</xdr:col>
                    <xdr:colOff>7620</xdr:colOff>
                    <xdr:row>18</xdr:row>
                    <xdr:rowOff>251460</xdr:rowOff>
                  </to>
                </anchor>
              </controlPr>
            </control>
          </mc:Choice>
        </mc:AlternateContent>
        <mc:AlternateContent xmlns:mc="http://schemas.openxmlformats.org/markup-compatibility/2006">
          <mc:Choice Requires="x14">
            <control shapeId="5129" r:id="rId8" name="Button 9">
              <controlPr defaultSize="0" print="0" autoFill="0" autoPict="0" macro="[0]!Kasowanie_RZiS">
                <anchor moveWithCells="1" sizeWithCells="1">
                  <from>
                    <xdr:col>4</xdr:col>
                    <xdr:colOff>297180</xdr:colOff>
                    <xdr:row>16</xdr:row>
                    <xdr:rowOff>175260</xdr:rowOff>
                  </from>
                  <to>
                    <xdr:col>6</xdr:col>
                    <xdr:colOff>137160</xdr:colOff>
                    <xdr:row>18</xdr:row>
                    <xdr:rowOff>251460</xdr:rowOff>
                  </to>
                </anchor>
              </controlPr>
            </control>
          </mc:Choice>
        </mc:AlternateContent>
        <mc:AlternateContent xmlns:mc="http://schemas.openxmlformats.org/markup-compatibility/2006">
          <mc:Choice Requires="x14">
            <control shapeId="5130" r:id="rId9" name="Button 10">
              <controlPr defaultSize="0" print="0" autoFill="0" autoPict="0" macro="[0]!WCZYTYWANIE_PRZEPLYWY_PDF">
                <anchor moveWithCells="1" sizeWithCells="1">
                  <from>
                    <xdr:col>1</xdr:col>
                    <xdr:colOff>586740</xdr:colOff>
                    <xdr:row>18</xdr:row>
                    <xdr:rowOff>381000</xdr:rowOff>
                  </from>
                  <to>
                    <xdr:col>3</xdr:col>
                    <xdr:colOff>601980</xdr:colOff>
                    <xdr:row>19</xdr:row>
                    <xdr:rowOff>495300</xdr:rowOff>
                  </to>
                </anchor>
              </controlPr>
            </control>
          </mc:Choice>
        </mc:AlternateContent>
        <mc:AlternateContent xmlns:mc="http://schemas.openxmlformats.org/markup-compatibility/2006">
          <mc:Choice Requires="x14">
            <control shapeId="5131" r:id="rId10" name="Button 11">
              <controlPr defaultSize="0" print="0" autoFill="0" autoPict="0" macro="[0]!Kasowanie_przeplywy">
                <anchor moveWithCells="1" sizeWithCells="1">
                  <from>
                    <xdr:col>4</xdr:col>
                    <xdr:colOff>281940</xdr:colOff>
                    <xdr:row>18</xdr:row>
                    <xdr:rowOff>396240</xdr:rowOff>
                  </from>
                  <to>
                    <xdr:col>6</xdr:col>
                    <xdr:colOff>121920</xdr:colOff>
                    <xdr:row>19</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895BD-D4F3-455D-B2E1-6AB436221490}">
  <sheetPr codeName="Arkusz11"/>
  <dimension ref="A1:C51"/>
  <sheetViews>
    <sheetView workbookViewId="0">
      <selection activeCell="G8" sqref="G8"/>
    </sheetView>
  </sheetViews>
  <sheetFormatPr defaultRowHeight="14.4"/>
  <cols>
    <col min="1" max="1" width="54.33203125" bestFit="1" customWidth="1"/>
    <col min="2" max="2" width="12.33203125" bestFit="1" customWidth="1"/>
    <col min="3" max="4" width="12.33203125" customWidth="1"/>
    <col min="5" max="5" width="12.33203125" bestFit="1" customWidth="1"/>
  </cols>
  <sheetData>
    <row r="1" spans="1:3">
      <c r="A1" t="s">
        <v>3533</v>
      </c>
      <c r="B1" t="s">
        <v>78</v>
      </c>
      <c r="C1" t="s">
        <v>10</v>
      </c>
    </row>
    <row r="2" spans="1:3">
      <c r="A2" t="s">
        <v>11</v>
      </c>
    </row>
    <row r="3" spans="1:3">
      <c r="A3" t="s">
        <v>3534</v>
      </c>
    </row>
    <row r="4" spans="1:3">
      <c r="A4" t="s">
        <v>0</v>
      </c>
      <c r="B4">
        <v>8883.1</v>
      </c>
      <c r="C4">
        <v>13023.1</v>
      </c>
    </row>
    <row r="5" spans="1:3">
      <c r="A5" t="s">
        <v>328</v>
      </c>
      <c r="B5">
        <v>147.69999999999999</v>
      </c>
      <c r="C5">
        <v>198.7</v>
      </c>
    </row>
    <row r="6" spans="1:3">
      <c r="A6" t="s">
        <v>330</v>
      </c>
      <c r="B6">
        <v>21.1</v>
      </c>
      <c r="C6">
        <v>21.8</v>
      </c>
    </row>
    <row r="7" spans="1:3">
      <c r="A7" t="s">
        <v>329</v>
      </c>
      <c r="B7">
        <v>408.6</v>
      </c>
      <c r="C7">
        <v>590</v>
      </c>
    </row>
    <row r="8" spans="1:3">
      <c r="A8" t="s">
        <v>879</v>
      </c>
      <c r="B8">
        <v>1.3</v>
      </c>
      <c r="C8">
        <v>1.2</v>
      </c>
    </row>
    <row r="9" spans="1:3">
      <c r="A9" t="s">
        <v>331</v>
      </c>
      <c r="B9">
        <v>1455.6</v>
      </c>
      <c r="C9">
        <v>326.2</v>
      </c>
    </row>
    <row r="10" spans="1:3">
      <c r="A10" t="s">
        <v>880</v>
      </c>
      <c r="B10">
        <v>7453.1</v>
      </c>
      <c r="C10">
        <v>7476</v>
      </c>
    </row>
    <row r="11" spans="1:3">
      <c r="A11" t="s">
        <v>332</v>
      </c>
      <c r="B11">
        <v>497.5</v>
      </c>
      <c r="C11">
        <v>458.9</v>
      </c>
    </row>
    <row r="12" spans="1:3">
      <c r="A12" t="s">
        <v>3535</v>
      </c>
      <c r="B12">
        <v>18868</v>
      </c>
      <c r="C12">
        <v>22095.9</v>
      </c>
    </row>
    <row r="13" spans="1:3">
      <c r="A13" t="s">
        <v>12</v>
      </c>
    </row>
    <row r="14" spans="1:3">
      <c r="A14" t="s">
        <v>13</v>
      </c>
      <c r="B14">
        <v>1196.5999999999999</v>
      </c>
      <c r="C14">
        <v>1171.9000000000001</v>
      </c>
    </row>
    <row r="15" spans="1:3">
      <c r="A15" t="s">
        <v>334</v>
      </c>
      <c r="B15">
        <v>1385.8</v>
      </c>
      <c r="C15">
        <v>1798.4</v>
      </c>
    </row>
    <row r="16" spans="1:3">
      <c r="A16" t="s">
        <v>335</v>
      </c>
      <c r="B16">
        <v>21.9</v>
      </c>
      <c r="C16">
        <v>9.1</v>
      </c>
    </row>
    <row r="17" spans="1:3">
      <c r="A17" t="s">
        <v>14</v>
      </c>
      <c r="B17">
        <v>12</v>
      </c>
      <c r="C17">
        <v>27.7</v>
      </c>
    </row>
    <row r="18" spans="1:3">
      <c r="A18" t="s">
        <v>880</v>
      </c>
      <c r="B18">
        <v>503.6</v>
      </c>
    </row>
    <row r="19" spans="1:3">
      <c r="A19" t="s">
        <v>697</v>
      </c>
      <c r="B19">
        <v>0.1</v>
      </c>
    </row>
    <row r="20" spans="1:3">
      <c r="A20" t="s">
        <v>336</v>
      </c>
      <c r="B20">
        <v>885</v>
      </c>
      <c r="C20">
        <v>2690.8</v>
      </c>
    </row>
    <row r="21" spans="1:3">
      <c r="A21" t="s">
        <v>16</v>
      </c>
      <c r="B21">
        <v>4005</v>
      </c>
      <c r="C21">
        <v>5697.9</v>
      </c>
    </row>
    <row r="22" spans="1:3">
      <c r="A22" t="s">
        <v>17</v>
      </c>
      <c r="B22">
        <v>22873</v>
      </c>
      <c r="C22">
        <v>27793.8</v>
      </c>
    </row>
    <row r="23" spans="1:3">
      <c r="A23" t="s">
        <v>3536</v>
      </c>
    </row>
    <row r="24" spans="1:3">
      <c r="A24" t="s">
        <v>338</v>
      </c>
      <c r="B24">
        <v>1251.9000000000001</v>
      </c>
      <c r="C24">
        <v>1251.9000000000001</v>
      </c>
    </row>
    <row r="25" spans="1:3">
      <c r="A25" t="s">
        <v>339</v>
      </c>
      <c r="B25">
        <v>905</v>
      </c>
      <c r="C25">
        <v>905</v>
      </c>
    </row>
    <row r="26" spans="1:3">
      <c r="A26" t="s">
        <v>340</v>
      </c>
      <c r="B26">
        <v>1.2</v>
      </c>
      <c r="C26">
        <v>7.5</v>
      </c>
    </row>
    <row r="27" spans="1:3">
      <c r="A27" t="s">
        <v>21</v>
      </c>
      <c r="B27">
        <v>7128.9</v>
      </c>
      <c r="C27">
        <v>14305</v>
      </c>
    </row>
    <row r="28" spans="1:3">
      <c r="A28" t="s">
        <v>889</v>
      </c>
      <c r="B28">
        <v>9287</v>
      </c>
      <c r="C28">
        <v>16469.400000000001</v>
      </c>
    </row>
    <row r="29" spans="1:3">
      <c r="A29" t="s">
        <v>3537</v>
      </c>
      <c r="B29">
        <v>459.8</v>
      </c>
      <c r="C29">
        <v>502.3</v>
      </c>
    </row>
    <row r="30" spans="1:3">
      <c r="A30" t="s">
        <v>3538</v>
      </c>
      <c r="B30">
        <v>9746.7999999999993</v>
      </c>
      <c r="C30">
        <v>16971.7</v>
      </c>
    </row>
    <row r="31" spans="1:3">
      <c r="A31" t="s">
        <v>342</v>
      </c>
    </row>
    <row r="32" spans="1:3">
      <c r="A32" t="s">
        <v>3539</v>
      </c>
    </row>
    <row r="33" spans="1:3">
      <c r="A33" t="s">
        <v>344</v>
      </c>
      <c r="B33">
        <v>1523.2</v>
      </c>
      <c r="C33">
        <v>782.4</v>
      </c>
    </row>
    <row r="34" spans="1:3">
      <c r="A34" t="s">
        <v>345</v>
      </c>
      <c r="B34">
        <v>13.9</v>
      </c>
      <c r="C34">
        <v>55.2</v>
      </c>
    </row>
    <row r="35" spans="1:3">
      <c r="A35" t="s">
        <v>346</v>
      </c>
      <c r="B35">
        <v>767.3</v>
      </c>
      <c r="C35">
        <v>960.2</v>
      </c>
    </row>
    <row r="36" spans="1:3">
      <c r="A36" t="s">
        <v>22</v>
      </c>
      <c r="B36">
        <v>1392.5</v>
      </c>
      <c r="C36">
        <v>1484.8</v>
      </c>
    </row>
    <row r="37" spans="1:3">
      <c r="A37" t="s">
        <v>347</v>
      </c>
      <c r="B37">
        <v>341</v>
      </c>
      <c r="C37">
        <v>382.4</v>
      </c>
    </row>
    <row r="38" spans="1:3">
      <c r="A38" t="s">
        <v>348</v>
      </c>
      <c r="B38">
        <v>134.19999999999999</v>
      </c>
      <c r="C38">
        <v>146.30000000000001</v>
      </c>
    </row>
    <row r="39" spans="1:3">
      <c r="A39" t="s">
        <v>3540</v>
      </c>
      <c r="B39">
        <v>4172.1000000000004</v>
      </c>
      <c r="C39">
        <v>3811.3</v>
      </c>
    </row>
    <row r="40" spans="1:3">
      <c r="A40" t="s">
        <v>350</v>
      </c>
    </row>
    <row r="41" spans="1:3">
      <c r="A41" t="s">
        <v>344</v>
      </c>
      <c r="B41">
        <v>362.7</v>
      </c>
      <c r="C41">
        <v>635.79999999999995</v>
      </c>
    </row>
    <row r="42" spans="1:3">
      <c r="A42" t="s">
        <v>14</v>
      </c>
      <c r="B42">
        <v>19.100000000000001</v>
      </c>
      <c r="C42">
        <v>5.2</v>
      </c>
    </row>
    <row r="43" spans="1:3">
      <c r="A43" t="s">
        <v>699</v>
      </c>
      <c r="B43">
        <v>6.1</v>
      </c>
      <c r="C43">
        <v>42.5</v>
      </c>
    </row>
    <row r="44" spans="1:3">
      <c r="A44" t="s">
        <v>346</v>
      </c>
      <c r="B44">
        <v>304.2</v>
      </c>
      <c r="C44">
        <v>293</v>
      </c>
    </row>
    <row r="45" spans="1:3">
      <c r="A45" t="s">
        <v>22</v>
      </c>
      <c r="B45">
        <v>284.60000000000002</v>
      </c>
      <c r="C45">
        <v>292.2</v>
      </c>
    </row>
    <row r="46" spans="1:3">
      <c r="A46" t="s">
        <v>347</v>
      </c>
      <c r="B46">
        <v>273</v>
      </c>
      <c r="C46">
        <v>257.89999999999998</v>
      </c>
    </row>
    <row r="47" spans="1:3">
      <c r="A47" t="s">
        <v>898</v>
      </c>
      <c r="B47">
        <v>4050.5</v>
      </c>
      <c r="C47">
        <v>1910</v>
      </c>
    </row>
    <row r="48" spans="1:3">
      <c r="A48" t="s">
        <v>348</v>
      </c>
      <c r="B48">
        <v>3653.9</v>
      </c>
      <c r="C48">
        <v>3574.2</v>
      </c>
    </row>
    <row r="49" spans="1:3">
      <c r="A49" t="s">
        <v>351</v>
      </c>
      <c r="B49">
        <v>8954.1</v>
      </c>
      <c r="C49">
        <v>7010.8</v>
      </c>
    </row>
    <row r="50" spans="1:3">
      <c r="A50" t="s">
        <v>352</v>
      </c>
      <c r="B50">
        <v>13126.2</v>
      </c>
      <c r="C50">
        <v>10822.1</v>
      </c>
    </row>
    <row r="51" spans="1:3">
      <c r="A51" t="s">
        <v>3541</v>
      </c>
      <c r="B51">
        <v>22873</v>
      </c>
      <c r="C51">
        <v>27793.8</v>
      </c>
    </row>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D2E3-BA5C-44C8-B9D4-B7C6ED3A2EFC}">
  <sheetPr codeName="Arkusz2"/>
  <dimension ref="A1:C33"/>
  <sheetViews>
    <sheetView workbookViewId="0">
      <selection activeCell="C1" sqref="A1:C1"/>
    </sheetView>
  </sheetViews>
  <sheetFormatPr defaultRowHeight="14.4"/>
  <cols>
    <col min="1" max="1" width="80.77734375" bestFit="1" customWidth="1"/>
    <col min="2" max="3" width="12.33203125" bestFit="1" customWidth="1"/>
    <col min="4" max="4" width="80.88671875" bestFit="1" customWidth="1"/>
    <col min="5" max="6" width="10.77734375" bestFit="1" customWidth="1"/>
    <col min="7" max="7" width="80.88671875" bestFit="1" customWidth="1"/>
    <col min="8" max="9" width="10.77734375" bestFit="1" customWidth="1"/>
  </cols>
  <sheetData>
    <row r="1" spans="1:3">
      <c r="A1" t="s">
        <v>3571</v>
      </c>
      <c r="B1" t="s">
        <v>78</v>
      </c>
      <c r="C1" t="s">
        <v>10</v>
      </c>
    </row>
    <row r="2" spans="1:3">
      <c r="A2" t="s">
        <v>323</v>
      </c>
      <c r="B2">
        <v>11325.8</v>
      </c>
      <c r="C2">
        <v>15338.5</v>
      </c>
    </row>
    <row r="3" spans="1:3">
      <c r="A3" t="s">
        <v>324</v>
      </c>
      <c r="B3">
        <v>-12082.6</v>
      </c>
      <c r="C3">
        <v>-11490.7</v>
      </c>
    </row>
    <row r="4" spans="1:3">
      <c r="A4" t="s">
        <v>3543</v>
      </c>
      <c r="B4">
        <v>-756.8</v>
      </c>
      <c r="C4">
        <v>3847.8</v>
      </c>
    </row>
    <row r="5" spans="1:3">
      <c r="A5" t="s">
        <v>325</v>
      </c>
      <c r="B5">
        <v>-371.7</v>
      </c>
      <c r="C5">
        <v>-449.3</v>
      </c>
    </row>
    <row r="6" spans="1:3">
      <c r="A6" t="s">
        <v>1</v>
      </c>
      <c r="B6">
        <v>-1070.4000000000001</v>
      </c>
      <c r="C6">
        <v>-1060.2</v>
      </c>
    </row>
    <row r="7" spans="1:3">
      <c r="A7" t="s">
        <v>3544</v>
      </c>
      <c r="B7">
        <v>170.7</v>
      </c>
      <c r="C7">
        <v>171.4</v>
      </c>
    </row>
    <row r="8" spans="1:3">
      <c r="A8" t="s">
        <v>3545</v>
      </c>
      <c r="B8">
        <v>-6449.3</v>
      </c>
      <c r="C8">
        <v>-226</v>
      </c>
    </row>
    <row r="9" spans="1:3">
      <c r="A9" t="s">
        <v>326</v>
      </c>
      <c r="B9">
        <v>-81.400000000000006</v>
      </c>
      <c r="C9">
        <v>-138.80000000000001</v>
      </c>
    </row>
    <row r="10" spans="1:3">
      <c r="A10" t="s">
        <v>3546</v>
      </c>
      <c r="B10">
        <v>360.3</v>
      </c>
      <c r="C10">
        <v>681.8</v>
      </c>
    </row>
    <row r="11" spans="1:3">
      <c r="A11" t="s">
        <v>1879</v>
      </c>
      <c r="B11">
        <v>-8198.6</v>
      </c>
      <c r="C11">
        <v>2826.7</v>
      </c>
    </row>
    <row r="12" spans="1:3">
      <c r="A12" t="s">
        <v>3</v>
      </c>
      <c r="B12">
        <v>70</v>
      </c>
      <c r="C12">
        <v>274.10000000000002</v>
      </c>
    </row>
    <row r="13" spans="1:3">
      <c r="A13" t="s">
        <v>4</v>
      </c>
      <c r="B13">
        <v>-228.2</v>
      </c>
      <c r="C13">
        <v>-226.2</v>
      </c>
    </row>
    <row r="14" spans="1:3">
      <c r="A14" t="s">
        <v>1880</v>
      </c>
      <c r="B14">
        <v>0.2</v>
      </c>
      <c r="C14">
        <v>0.1</v>
      </c>
    </row>
    <row r="15" spans="1:3">
      <c r="A15" t="s">
        <v>3547</v>
      </c>
      <c r="B15">
        <v>-8356.6</v>
      </c>
      <c r="C15">
        <v>2874.7</v>
      </c>
    </row>
    <row r="16" spans="1:3">
      <c r="A16" t="s">
        <v>5</v>
      </c>
      <c r="B16">
        <v>1071.9000000000001</v>
      </c>
      <c r="C16">
        <v>-1877.6</v>
      </c>
    </row>
    <row r="17" spans="1:3">
      <c r="A17" t="s">
        <v>3548</v>
      </c>
      <c r="B17">
        <v>-7284.7</v>
      </c>
      <c r="C17">
        <v>997.1</v>
      </c>
    </row>
    <row r="18" spans="1:3">
      <c r="A18" t="s">
        <v>3549</v>
      </c>
      <c r="B18">
        <v>-6.3</v>
      </c>
      <c r="C18">
        <v>9.8000000000000007</v>
      </c>
    </row>
    <row r="19" spans="1:3">
      <c r="A19" t="s">
        <v>3550</v>
      </c>
      <c r="B19">
        <v>-7.8</v>
      </c>
      <c r="C19">
        <v>12.1</v>
      </c>
    </row>
    <row r="20" spans="1:3">
      <c r="A20" t="s">
        <v>5</v>
      </c>
      <c r="B20">
        <v>1.5</v>
      </c>
      <c r="C20">
        <v>-2.2999999999999998</v>
      </c>
    </row>
    <row r="21" spans="1:3">
      <c r="A21" t="s">
        <v>3551</v>
      </c>
      <c r="B21">
        <v>66.099999999999994</v>
      </c>
      <c r="C21">
        <v>-79.5</v>
      </c>
    </row>
    <row r="22" spans="1:3">
      <c r="A22" t="s">
        <v>3552</v>
      </c>
      <c r="B22">
        <v>81.599999999999994</v>
      </c>
      <c r="C22">
        <v>-98.1</v>
      </c>
    </row>
    <row r="23" spans="1:3">
      <c r="A23" t="s">
        <v>5</v>
      </c>
      <c r="B23">
        <v>-15.5</v>
      </c>
      <c r="C23">
        <v>18.600000000000001</v>
      </c>
    </row>
    <row r="24" spans="1:3">
      <c r="A24" t="s">
        <v>3553</v>
      </c>
      <c r="B24">
        <v>59.8</v>
      </c>
      <c r="C24">
        <v>-69.7</v>
      </c>
    </row>
    <row r="25" spans="1:3">
      <c r="A25" t="s">
        <v>3554</v>
      </c>
      <c r="B25">
        <v>-7224.9</v>
      </c>
      <c r="C25">
        <v>927.4</v>
      </c>
    </row>
    <row r="26" spans="1:3">
      <c r="A26" t="s">
        <v>1694</v>
      </c>
    </row>
    <row r="27" spans="1:3">
      <c r="A27" t="s">
        <v>3555</v>
      </c>
      <c r="B27">
        <v>-7242.3</v>
      </c>
      <c r="C27">
        <v>993.9</v>
      </c>
    </row>
    <row r="28" spans="1:3">
      <c r="A28" t="s">
        <v>3556</v>
      </c>
      <c r="B28">
        <v>-42.4</v>
      </c>
      <c r="C28">
        <v>3.2</v>
      </c>
    </row>
    <row r="29" spans="1:3">
      <c r="A29" t="s">
        <v>3572</v>
      </c>
    </row>
    <row r="30" spans="1:3">
      <c r="A30" t="s">
        <v>3555</v>
      </c>
      <c r="B30">
        <v>-7182.4</v>
      </c>
      <c r="C30">
        <v>925</v>
      </c>
    </row>
    <row r="31" spans="1:3">
      <c r="A31" t="s">
        <v>3556</v>
      </c>
      <c r="B31">
        <v>-42.5</v>
      </c>
      <c r="C31">
        <v>2.4</v>
      </c>
    </row>
    <row r="32" spans="1:3">
      <c r="A32" t="s">
        <v>3557</v>
      </c>
      <c r="B32">
        <v>-61.68</v>
      </c>
      <c r="C32">
        <v>8.4600000000000009</v>
      </c>
    </row>
    <row r="33" spans="1:3">
      <c r="A33" t="s">
        <v>3558</v>
      </c>
      <c r="B33">
        <v>-61.68</v>
      </c>
      <c r="C33">
        <v>8.4600000000000009</v>
      </c>
    </row>
  </sheetData>
  <phoneticPr fontId="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980C8-5CC3-42E5-975B-675AA6101016}">
  <sheetPr codeName="Arkusz3"/>
  <dimension ref="A1:C30"/>
  <sheetViews>
    <sheetView workbookViewId="0">
      <selection activeCell="D7" sqref="D7"/>
    </sheetView>
  </sheetViews>
  <sheetFormatPr defaultRowHeight="14.4"/>
  <cols>
    <col min="1" max="1" width="80.77734375" bestFit="1" customWidth="1"/>
    <col min="2" max="3" width="12.33203125" bestFit="1" customWidth="1"/>
    <col min="4" max="4" width="80.44140625" bestFit="1" customWidth="1"/>
    <col min="5" max="6" width="10.77734375" bestFit="1" customWidth="1"/>
  </cols>
  <sheetData>
    <row r="1" spans="1:3">
      <c r="A1" t="s">
        <v>3571</v>
      </c>
      <c r="B1" t="s">
        <v>78</v>
      </c>
      <c r="C1" t="s">
        <v>10</v>
      </c>
    </row>
    <row r="2" spans="1:3">
      <c r="A2" t="s">
        <v>3561</v>
      </c>
    </row>
    <row r="3" spans="1:3">
      <c r="A3" t="s">
        <v>357</v>
      </c>
      <c r="B3">
        <v>75.599999999999994</v>
      </c>
      <c r="C3">
        <v>4706.3999999999996</v>
      </c>
    </row>
    <row r="4" spans="1:3">
      <c r="A4" t="s">
        <v>358</v>
      </c>
      <c r="B4">
        <v>-3.1</v>
      </c>
      <c r="C4">
        <v>-1.8</v>
      </c>
    </row>
    <row r="5" spans="1:3">
      <c r="A5" t="s">
        <v>359</v>
      </c>
      <c r="B5">
        <v>-162</v>
      </c>
      <c r="C5">
        <v>-2957.2</v>
      </c>
    </row>
    <row r="6" spans="1:3">
      <c r="A6" t="s">
        <v>3562</v>
      </c>
      <c r="B6">
        <v>-89.5</v>
      </c>
      <c r="C6">
        <v>1747.4</v>
      </c>
    </row>
    <row r="7" spans="1:3">
      <c r="A7" t="s">
        <v>3563</v>
      </c>
    </row>
    <row r="8" spans="1:3">
      <c r="A8" t="s">
        <v>362</v>
      </c>
      <c r="B8">
        <v>-3866.7</v>
      </c>
      <c r="C8">
        <v>-3913.9</v>
      </c>
    </row>
    <row r="9" spans="1:3">
      <c r="A9" t="s">
        <v>3564</v>
      </c>
      <c r="B9">
        <v>-55.2</v>
      </c>
      <c r="C9">
        <v>-33</v>
      </c>
    </row>
    <row r="10" spans="1:3">
      <c r="A10" t="s">
        <v>363</v>
      </c>
      <c r="B10">
        <v>-71.599999999999994</v>
      </c>
      <c r="C10">
        <v>-88.5</v>
      </c>
    </row>
    <row r="11" spans="1:3">
      <c r="A11" t="s">
        <v>364</v>
      </c>
      <c r="B11">
        <v>-25.1</v>
      </c>
      <c r="C11">
        <v>-2.1</v>
      </c>
    </row>
    <row r="12" spans="1:3">
      <c r="A12" t="s">
        <v>365</v>
      </c>
      <c r="B12">
        <v>20.5</v>
      </c>
      <c r="C12">
        <v>9.3000000000000007</v>
      </c>
    </row>
    <row r="13" spans="1:3">
      <c r="A13" t="s">
        <v>904</v>
      </c>
      <c r="B13">
        <v>2016.7</v>
      </c>
    </row>
    <row r="14" spans="1:3">
      <c r="A14" t="s">
        <v>366</v>
      </c>
      <c r="B14">
        <v>6.6</v>
      </c>
      <c r="C14">
        <v>3.1</v>
      </c>
    </row>
    <row r="15" spans="1:3">
      <c r="A15" t="s">
        <v>33</v>
      </c>
      <c r="B15">
        <v>0.1</v>
      </c>
      <c r="C15">
        <v>0.1</v>
      </c>
    </row>
    <row r="16" spans="1:3">
      <c r="A16" t="s">
        <v>35</v>
      </c>
      <c r="B16">
        <v>72.900000000000006</v>
      </c>
      <c r="C16">
        <v>276.89999999999998</v>
      </c>
    </row>
    <row r="17" spans="1:3">
      <c r="A17" t="s">
        <v>3565</v>
      </c>
      <c r="B17">
        <v>-1846.6</v>
      </c>
      <c r="C17">
        <v>-3715.1</v>
      </c>
    </row>
    <row r="18" spans="1:3">
      <c r="A18" t="s">
        <v>3566</v>
      </c>
    </row>
    <row r="19" spans="1:3">
      <c r="A19" t="s">
        <v>369</v>
      </c>
      <c r="B19">
        <v>1075.0999999999999</v>
      </c>
      <c r="C19">
        <v>796.1</v>
      </c>
    </row>
    <row r="20" spans="1:3">
      <c r="A20" t="s">
        <v>906</v>
      </c>
      <c r="B20">
        <v>0.8</v>
      </c>
      <c r="C20">
        <v>2.4</v>
      </c>
    </row>
    <row r="21" spans="1:3">
      <c r="A21" t="s">
        <v>370</v>
      </c>
      <c r="B21">
        <v>-610</v>
      </c>
      <c r="C21">
        <v>-669.6</v>
      </c>
    </row>
    <row r="22" spans="1:3">
      <c r="A22" t="s">
        <v>371</v>
      </c>
      <c r="B22">
        <v>-229.7</v>
      </c>
      <c r="C22">
        <v>-219.9</v>
      </c>
    </row>
    <row r="23" spans="1:3">
      <c r="A23" t="s">
        <v>372</v>
      </c>
      <c r="B23">
        <v>-105.9</v>
      </c>
      <c r="C23">
        <v>-85.8</v>
      </c>
    </row>
    <row r="24" spans="1:3">
      <c r="A24" t="s">
        <v>3567</v>
      </c>
      <c r="C24">
        <v>-0.7</v>
      </c>
    </row>
    <row r="25" spans="1:3">
      <c r="A25" t="s">
        <v>908</v>
      </c>
      <c r="C25">
        <v>-0.4</v>
      </c>
    </row>
    <row r="26" spans="1:3">
      <c r="A26" t="s">
        <v>3568</v>
      </c>
      <c r="B26">
        <v>130.30000000000001</v>
      </c>
      <c r="C26">
        <v>-177.9</v>
      </c>
    </row>
    <row r="27" spans="1:3">
      <c r="A27" t="s">
        <v>3569</v>
      </c>
      <c r="B27">
        <v>-1805.8</v>
      </c>
      <c r="C27">
        <v>-2145.6</v>
      </c>
    </row>
    <row r="28" spans="1:3">
      <c r="A28" t="s">
        <v>375</v>
      </c>
      <c r="B28">
        <v>2690.8</v>
      </c>
      <c r="C28">
        <v>4837.8999999999996</v>
      </c>
    </row>
    <row r="29" spans="1:3">
      <c r="A29" t="s">
        <v>376</v>
      </c>
      <c r="C29">
        <v>-1.5</v>
      </c>
    </row>
    <row r="30" spans="1:3">
      <c r="A30" t="s">
        <v>3570</v>
      </c>
      <c r="B30">
        <v>885</v>
      </c>
      <c r="C30">
        <v>2690.8</v>
      </c>
    </row>
  </sheetData>
  <phoneticPr fontId="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9B52-1EA1-4F2C-B371-EADD010E9119}">
  <sheetPr codeName="Arkusz7"/>
  <dimension ref="B2:R91"/>
  <sheetViews>
    <sheetView topLeftCell="A13" zoomScale="85" zoomScaleNormal="85" workbookViewId="0">
      <selection activeCell="H72" sqref="H72"/>
    </sheetView>
  </sheetViews>
  <sheetFormatPr defaultColWidth="31.6640625" defaultRowHeight="17.399999999999999"/>
  <cols>
    <col min="1" max="1" width="2.21875" style="21" customWidth="1"/>
    <col min="2" max="2" width="42.5546875" style="21" bestFit="1" customWidth="1"/>
    <col min="3" max="3" width="40.88671875" style="21" customWidth="1"/>
    <col min="4" max="4" width="26.77734375" style="21" customWidth="1"/>
    <col min="5" max="5" width="40.109375" style="21" customWidth="1"/>
    <col min="6" max="6" width="24.5546875" style="21" customWidth="1"/>
    <col min="7" max="7" width="25.6640625" style="21" customWidth="1"/>
    <col min="8" max="8" width="35.44140625" style="21" customWidth="1"/>
    <col min="9" max="9" width="36.109375" style="21" customWidth="1"/>
    <col min="10" max="10" width="25.21875" style="21" customWidth="1"/>
    <col min="11" max="16384" width="31.6640625" style="21"/>
  </cols>
  <sheetData>
    <row r="2" spans="2:10">
      <c r="B2" s="40" t="s">
        <v>3606</v>
      </c>
      <c r="C2" s="40" t="s">
        <v>3605</v>
      </c>
      <c r="D2" s="40" t="s">
        <v>3604</v>
      </c>
      <c r="E2" s="40" t="s">
        <v>3603</v>
      </c>
      <c r="F2" s="40" t="s">
        <v>3602</v>
      </c>
      <c r="G2" s="40" t="s">
        <v>3601</v>
      </c>
      <c r="H2" s="40" t="s">
        <v>3600</v>
      </c>
      <c r="I2" s="40" t="s">
        <v>3599</v>
      </c>
    </row>
    <row r="3" spans="2:10">
      <c r="B3" s="39" t="s">
        <v>3583</v>
      </c>
      <c r="C3" s="39" t="s">
        <v>3598</v>
      </c>
      <c r="D3" s="39" t="s">
        <v>3590</v>
      </c>
      <c r="E3" s="39" t="s">
        <v>3594</v>
      </c>
      <c r="F3" s="39" t="s">
        <v>3590</v>
      </c>
      <c r="G3" s="39" t="s">
        <v>3593</v>
      </c>
      <c r="H3" s="39">
        <v>1</v>
      </c>
      <c r="I3" s="39">
        <v>1.5</v>
      </c>
    </row>
    <row r="4" spans="2:10">
      <c r="B4" s="39" t="s">
        <v>3597</v>
      </c>
      <c r="C4" s="39" t="s">
        <v>3596</v>
      </c>
      <c r="D4" s="39" t="s">
        <v>3590</v>
      </c>
      <c r="E4" s="39" t="s">
        <v>3594</v>
      </c>
      <c r="F4" s="39" t="s">
        <v>3590</v>
      </c>
      <c r="G4" s="39" t="s">
        <v>3593</v>
      </c>
      <c r="H4" s="39">
        <v>0.7</v>
      </c>
      <c r="I4" s="39">
        <v>1.2</v>
      </c>
    </row>
    <row r="5" spans="2:10">
      <c r="B5" s="39" t="s">
        <v>3581</v>
      </c>
      <c r="C5" s="39" t="s">
        <v>3595</v>
      </c>
      <c r="D5" s="39" t="s">
        <v>3590</v>
      </c>
      <c r="E5" s="39" t="s">
        <v>3594</v>
      </c>
      <c r="F5" s="39" t="s">
        <v>3590</v>
      </c>
      <c r="G5" s="39" t="s">
        <v>3593</v>
      </c>
      <c r="H5" s="39">
        <v>0.2</v>
      </c>
      <c r="I5" s="39">
        <v>0.4</v>
      </c>
    </row>
    <row r="6" spans="2:10" ht="31.2">
      <c r="B6" s="39" t="s">
        <v>3580</v>
      </c>
      <c r="C6" s="39" t="s">
        <v>3592</v>
      </c>
      <c r="D6" s="39" t="s">
        <v>3590</v>
      </c>
      <c r="E6" s="39" t="s">
        <v>3591</v>
      </c>
      <c r="F6" s="39" t="s">
        <v>3590</v>
      </c>
      <c r="G6" s="39" t="s">
        <v>3586</v>
      </c>
      <c r="H6" s="39">
        <v>0.5</v>
      </c>
      <c r="I6" s="39" t="s">
        <v>3585</v>
      </c>
    </row>
    <row r="7" spans="2:10" ht="31.2">
      <c r="B7" s="39" t="s">
        <v>3579</v>
      </c>
      <c r="C7" s="39" t="s">
        <v>3589</v>
      </c>
      <c r="D7" s="39" t="s">
        <v>178</v>
      </c>
      <c r="E7" s="39" t="s">
        <v>3588</v>
      </c>
      <c r="F7" s="39" t="s">
        <v>3587</v>
      </c>
      <c r="G7" s="39" t="s">
        <v>3586</v>
      </c>
      <c r="H7" s="39">
        <v>10</v>
      </c>
      <c r="I7" s="39" t="s">
        <v>3585</v>
      </c>
    </row>
    <row r="8" spans="2:10">
      <c r="B8" s="22"/>
      <c r="C8" s="22"/>
      <c r="D8" s="22"/>
      <c r="E8" s="22"/>
      <c r="F8" s="22"/>
      <c r="G8" s="22"/>
      <c r="H8" s="22"/>
      <c r="I8" s="22"/>
    </row>
    <row r="9" spans="2:10" ht="18">
      <c r="B9" s="43" t="s">
        <v>3613</v>
      </c>
      <c r="C9" s="44" t="s">
        <v>3614</v>
      </c>
      <c r="D9" s="44" t="s">
        <v>3615</v>
      </c>
      <c r="E9" s="44" t="s">
        <v>3571</v>
      </c>
      <c r="F9" s="44" t="s">
        <v>3616</v>
      </c>
      <c r="G9" s="44" t="s">
        <v>3617</v>
      </c>
      <c r="H9" s="44" t="s">
        <v>3618</v>
      </c>
      <c r="I9" s="44" t="s">
        <v>3619</v>
      </c>
      <c r="J9" s="42" t="s">
        <v>3612</v>
      </c>
    </row>
    <row r="10" spans="2:10">
      <c r="B10" s="41">
        <v>282</v>
      </c>
      <c r="C10" s="41">
        <v>1</v>
      </c>
      <c r="D10" s="41">
        <v>2</v>
      </c>
      <c r="E10" s="41" t="str" cm="1">
        <f t="array" aca="1" ref="E10" ca="1">INDIRECT("Dane_2023_2024!" &amp; ADDRESS(B10, 3))</f>
        <v>RAZEM AKTYWA OBROTOWE</v>
      </c>
      <c r="F10" s="41" t="str" cm="1">
        <f t="array" aca="1" ref="F10" ca="1">INDIRECT("Dane_2023_2024!" &amp; ADDRESS(B10+C11, 3))</f>
        <v xml:space="preserve">4 005,0 </v>
      </c>
      <c r="G10" s="41" t="str" cm="1">
        <f t="array" aca="1" ref="G10" ca="1">INDIRECT("Dane_2023_2024!" &amp; ADDRESS(B10+D10, 3))</f>
        <v>5 697,9</v>
      </c>
      <c r="H10" s="41">
        <f t="shared" ref="H10:H18" ca="1" si="0">F10*1</f>
        <v>4005</v>
      </c>
      <c r="I10" s="41">
        <f t="shared" ref="I10:I18" ca="1" si="1">G10*1</f>
        <v>5697.9</v>
      </c>
      <c r="J10" s="45">
        <f ca="1">(H10-I10)/I10</f>
        <v>-0.29710946138050859</v>
      </c>
    </row>
    <row r="11" spans="2:10">
      <c r="B11" s="41">
        <v>390</v>
      </c>
      <c r="C11" s="41">
        <v>1</v>
      </c>
      <c r="D11" s="41">
        <v>2</v>
      </c>
      <c r="E11" s="41" t="str" cm="1">
        <f t="array" aca="1" ref="E11" ca="1">INDIRECT("Dane_2023_2024!" &amp; ADDRESS(B11, 3))</f>
        <v>PASYWA BIEŻĄCE</v>
      </c>
      <c r="F11" s="41" t="str" cm="1">
        <f t="array" aca="1" ref="F11" ca="1">INDIRECT("Dane_2023_2024!" &amp; ADDRESS(B11+C11, 3))</f>
        <v xml:space="preserve">8 954,1 </v>
      </c>
      <c r="G11" s="41" t="str" cm="1">
        <f t="array" aca="1" ref="G11" ca="1">INDIRECT("Dane_2023_2024!" &amp; ADDRESS(B11+D11, 3))</f>
        <v>7 010,8</v>
      </c>
      <c r="H11" s="41">
        <f t="shared" ca="1" si="0"/>
        <v>8954.1</v>
      </c>
      <c r="I11" s="41">
        <f t="shared" ca="1" si="1"/>
        <v>7010.8</v>
      </c>
      <c r="J11" s="45">
        <f t="shared" ref="J11:J18" ca="1" si="2">(H11-I11)/I11</f>
        <v>0.27718662634792035</v>
      </c>
    </row>
    <row r="12" spans="2:10">
      <c r="B12" s="41">
        <v>3711</v>
      </c>
      <c r="C12" s="41">
        <v>1</v>
      </c>
      <c r="D12" s="41">
        <v>2</v>
      </c>
      <c r="E12" s="41" t="str" cm="1">
        <f t="array" aca="1" ref="E12" ca="1">INDIRECT("Dane_2023_2024!" &amp; ADDRESS(B12, 3))</f>
        <v xml:space="preserve">ZAPASY RAZEM </v>
      </c>
      <c r="F12" s="41" t="str" cm="1">
        <f t="array" aca="1" ref="F12" ca="1">INDIRECT("Dane_2023_2024!" &amp; ADDRESS(B12+C12, 3))</f>
        <v xml:space="preserve">1 196,6 </v>
      </c>
      <c r="G12" s="41" t="str" cm="1">
        <f t="array" aca="1" ref="G12" ca="1">INDIRECT("Dane_2023_2024!" &amp; ADDRESS(B12+D12, 3))</f>
        <v>1 171,9</v>
      </c>
      <c r="H12" s="41">
        <f t="shared" ca="1" si="0"/>
        <v>1196.5999999999999</v>
      </c>
      <c r="I12" s="41">
        <f t="shared" ca="1" si="1"/>
        <v>1171.9000000000001</v>
      </c>
      <c r="J12" s="45">
        <f t="shared" ca="1" si="2"/>
        <v>2.1076883693147724E-2</v>
      </c>
    </row>
    <row r="13" spans="2:10" ht="31.2">
      <c r="B13" s="41">
        <v>558</v>
      </c>
      <c r="C13" s="41">
        <v>1</v>
      </c>
      <c r="D13" s="41">
        <v>2</v>
      </c>
      <c r="E13" s="41" t="str" cm="1">
        <f t="array" aca="1" ref="E13" ca="1">INDIRECT("Dane_2023_2024!" &amp; ADDRESS(B13, 3))</f>
        <v>Środki pieniężne i ich ekwiwalenty na początek okresu</v>
      </c>
      <c r="F13" s="41" t="str" cm="1">
        <f t="array" aca="1" ref="F13" ca="1">INDIRECT("Dane_2023_2024!" &amp; ADDRESS(B13+C13, 3))</f>
        <v xml:space="preserve">2 690,8 </v>
      </c>
      <c r="G13" s="41" t="str" cm="1">
        <f t="array" aca="1" ref="G13" ca="1">INDIRECT("Dane_2023_2024!" &amp; ADDRESS(B13+D13, 3))</f>
        <v>4 837,9</v>
      </c>
      <c r="H13" s="41">
        <f t="shared" ca="1" si="0"/>
        <v>2690.8</v>
      </c>
      <c r="I13" s="41">
        <f t="shared" ca="1" si="1"/>
        <v>4837.8999999999996</v>
      </c>
      <c r="J13" s="45">
        <f t="shared" ca="1" si="2"/>
        <v>-0.4438082639161619</v>
      </c>
    </row>
    <row r="14" spans="2:10" ht="31.2">
      <c r="B14" s="41">
        <v>261</v>
      </c>
      <c r="C14" s="41">
        <v>2</v>
      </c>
      <c r="D14" s="41">
        <v>3</v>
      </c>
      <c r="E14" s="41" t="str" cm="1">
        <f t="array" aca="1" ref="E14" ca="1">INDIRECT("Dane_2023_2024!" &amp; ADDRESS(B14, 3))</f>
        <v>Należności handlowe oraz pozostałe należności</v>
      </c>
      <c r="F14" s="41" t="str" cm="1">
        <f t="array" aca="1" ref="F14" ca="1">INDIRECT("Dane_2023_2024!" &amp; ADDRESS(B14+C14, 3))</f>
        <v xml:space="preserve">1 385,8 </v>
      </c>
      <c r="G14" s="41" t="str" cm="1">
        <f t="array" aca="1" ref="G14" ca="1">INDIRECT("Dane_2023_2024!" &amp; ADDRESS(B14+D14, 3))</f>
        <v>1 798,4</v>
      </c>
      <c r="H14" s="41">
        <f t="shared" ca="1" si="0"/>
        <v>1385.8</v>
      </c>
      <c r="I14" s="41">
        <f t="shared" ca="1" si="1"/>
        <v>1798.4</v>
      </c>
      <c r="J14" s="45">
        <f t="shared" ca="1" si="2"/>
        <v>-0.22942615658362997</v>
      </c>
    </row>
    <row r="15" spans="2:10" ht="31.2">
      <c r="B15" s="41">
        <v>387</v>
      </c>
      <c r="C15" s="41">
        <v>1</v>
      </c>
      <c r="D15" s="41">
        <v>2</v>
      </c>
      <c r="E15" s="41" t="str" cm="1">
        <f t="array" aca="1" ref="E15" ca="1">INDIRECT("Dane_2023_2024!" &amp; ADDRESS(B15, 3))</f>
        <v>RAZEM ZOBOWIĄZANIA KRÓTKOTERMINOWE</v>
      </c>
      <c r="F15" s="41" t="str" cm="1">
        <f t="array" aca="1" ref="F15" ca="1">INDIRECT("Dane_2023_2024!" &amp; ADDRESS(B15+C15, 3))</f>
        <v xml:space="preserve">1 245,3 </v>
      </c>
      <c r="G15" s="41" t="str" cm="1">
        <f t="array" aca="1" ref="G15" ca="1">INDIRECT("Dane_2023_2024!" &amp; ADDRESS(B15+D15, 3))</f>
        <v>1 108,1</v>
      </c>
      <c r="H15" s="41">
        <f t="shared" ca="1" si="0"/>
        <v>1245.3</v>
      </c>
      <c r="I15" s="41">
        <f t="shared" ca="1" si="1"/>
        <v>1108.0999999999999</v>
      </c>
      <c r="J15" s="45">
        <f t="shared" ca="1" si="2"/>
        <v>0.1238155401137082</v>
      </c>
    </row>
    <row r="16" spans="2:10">
      <c r="B16" s="41"/>
      <c r="C16" s="41"/>
      <c r="D16" s="41"/>
      <c r="E16" s="41" t="s">
        <v>3610</v>
      </c>
      <c r="F16" s="41">
        <f ca="1">(F12+G12)/2</f>
        <v>1184.25</v>
      </c>
      <c r="G16" s="41">
        <f ca="1">(G12+1857.8)/2</f>
        <v>1514.85</v>
      </c>
      <c r="H16" s="41">
        <f t="shared" ca="1" si="0"/>
        <v>1184.25</v>
      </c>
      <c r="I16" s="41">
        <f t="shared" ca="1" si="1"/>
        <v>1514.85</v>
      </c>
      <c r="J16" s="45">
        <f t="shared" ca="1" si="2"/>
        <v>-0.21823942964649962</v>
      </c>
    </row>
    <row r="17" spans="2:18">
      <c r="B17" s="41">
        <v>111</v>
      </c>
      <c r="C17" s="41">
        <v>2</v>
      </c>
      <c r="D17" s="41">
        <v>3</v>
      </c>
      <c r="E17" s="41" t="str" cm="1">
        <f t="array" aca="1" ref="E17" ca="1">INDIRECT("Dane_2023_2024!" &amp; ADDRESS(B17, 3))</f>
        <v xml:space="preserve">Koszty sprzedaży </v>
      </c>
      <c r="F17" s="41" t="str" cm="1">
        <f t="array" aca="1" ref="F17" ca="1">INDIRECT("Dane_2023_2024!" &amp; ADDRESS(B17+C17, 3))</f>
        <v>(371,7)</v>
      </c>
      <c r="G17" s="41" t="str" cm="1">
        <f t="array" aca="1" ref="G17" ca="1">INDIRECT("Dane_2023_2024!" &amp; ADDRESS(B17+D17, 3))</f>
        <v>(449,3)</v>
      </c>
      <c r="H17" s="41">
        <f t="shared" ca="1" si="0"/>
        <v>-371.7</v>
      </c>
      <c r="I17" s="41">
        <f t="shared" ca="1" si="1"/>
        <v>-449.3</v>
      </c>
      <c r="J17" s="45">
        <f t="shared" ca="1" si="2"/>
        <v>-0.17271310928110398</v>
      </c>
    </row>
    <row r="18" spans="2:18">
      <c r="B18" s="41"/>
      <c r="C18" s="41"/>
      <c r="D18" s="41"/>
      <c r="E18" s="41" t="s">
        <v>3611</v>
      </c>
      <c r="F18" s="41">
        <v>365</v>
      </c>
      <c r="G18" s="41">
        <v>365</v>
      </c>
      <c r="H18" s="41">
        <f t="shared" si="0"/>
        <v>365</v>
      </c>
      <c r="I18" s="41">
        <f t="shared" si="1"/>
        <v>365</v>
      </c>
      <c r="J18" s="45">
        <f t="shared" si="2"/>
        <v>0</v>
      </c>
    </row>
    <row r="19" spans="2:18">
      <c r="B19" s="22"/>
      <c r="C19" s="22"/>
      <c r="D19" s="22"/>
      <c r="E19" s="22"/>
      <c r="F19" s="22"/>
      <c r="G19" s="22"/>
      <c r="H19" s="22"/>
      <c r="I19" s="22"/>
    </row>
    <row r="20" spans="2:18">
      <c r="B20" s="38" t="s">
        <v>3584</v>
      </c>
      <c r="C20" s="37" t="s">
        <v>3608</v>
      </c>
      <c r="D20" s="37" t="s">
        <v>3607</v>
      </c>
      <c r="E20" s="37" t="s">
        <v>3612</v>
      </c>
      <c r="F20" s="22"/>
      <c r="G20" s="22"/>
    </row>
    <row r="21" spans="2:18">
      <c r="B21" s="36" t="str">
        <f>B3</f>
        <v>Płynność bieżąca</v>
      </c>
      <c r="C21" s="34">
        <f ca="1">H10/H11</f>
        <v>0.44728113378228967</v>
      </c>
      <c r="D21" s="34">
        <f ca="1">I10/I11</f>
        <v>0.81273178524562095</v>
      </c>
      <c r="E21" s="33">
        <f ca="1">(Tabela9[[#This Row],[Rok 2023]]-Tabela9[[#This Row],[Rok 2024]])/Tabela9[[#This Row],[Rok 2024]]</f>
        <v>0.81704910818172649</v>
      </c>
      <c r="F21" s="22"/>
      <c r="G21" s="22"/>
    </row>
    <row r="22" spans="2:18">
      <c r="B22" s="35" t="str">
        <f>B4</f>
        <v>Płynnośc szybka</v>
      </c>
      <c r="C22" s="34">
        <f ca="1">(H10+H12)/H11</f>
        <v>0.5809182385722742</v>
      </c>
      <c r="D22" s="34">
        <f ca="1">(I10+I12)/I11</f>
        <v>0.97988817253380489</v>
      </c>
      <c r="E22" s="33">
        <f ca="1">(Tabela9[[#This Row],[Rok 2023]]-Tabela9[[#This Row],[Rok 2024]])/Tabela9[[#This Row],[Rok 2024]]</f>
        <v>0.6867918882045797</v>
      </c>
      <c r="F22" s="22"/>
      <c r="G22" s="22"/>
    </row>
    <row r="23" spans="2:18">
      <c r="B23" s="35" t="str">
        <f>B5</f>
        <v>Płynność gotówkowa</v>
      </c>
      <c r="C23" s="34">
        <f ca="1">H13/H11</f>
        <v>0.30051038071944697</v>
      </c>
      <c r="D23" s="34">
        <f ca="1">I13/I11</f>
        <v>0.69006390140925422</v>
      </c>
      <c r="E23" s="33">
        <f ca="1">(Tabela9[[#This Row],[Rok 2023]]-Tabela9[[#This Row],[Rok 2024]])/Tabela9[[#This Row],[Rok 2024]]</f>
        <v>1.2963063697073745</v>
      </c>
      <c r="F23" s="22"/>
      <c r="G23" s="22"/>
    </row>
    <row r="24" spans="2:18">
      <c r="B24" s="35" t="str">
        <f>B6</f>
        <v>Wskaźnik bieżącej wypłacalności</v>
      </c>
      <c r="C24" s="34">
        <f ca="1">(H13+H14)/H15</f>
        <v>3.2735886934875134</v>
      </c>
      <c r="D24" s="34">
        <f ca="1">(I13+I14)/I15</f>
        <v>5.988899918779893</v>
      </c>
      <c r="E24" s="33">
        <f ca="1">(Tabela9[[#This Row],[Rok 2023]]-Tabela9[[#This Row],[Rok 2024]])/Tabela9[[#This Row],[Rok 2024]]</f>
        <v>0.82946010618078791</v>
      </c>
      <c r="F24" s="22"/>
      <c r="G24" s="22"/>
    </row>
    <row r="25" spans="2:18">
      <c r="B25" s="32" t="str">
        <f>B7</f>
        <v>Rotacja zapasów</v>
      </c>
      <c r="C25" s="31">
        <f ca="1">IF(H17=0, "Błąd: dzielenie przez 0", ROUND((H16*H18)/(H17*1000), 2))</f>
        <v>-1.1599999999999999</v>
      </c>
      <c r="D25" s="31">
        <f ca="1">IF(I17=0, "Błąd: dzielenie przez 0", ROUND((I16*I18)/(I17*1000), 2))</f>
        <v>-1.23</v>
      </c>
      <c r="E25" s="30">
        <f ca="1">(Tabela9[[#This Row],[Rok 2023]]-Tabela9[[#This Row],[Rok 2024]])/Tabela9[[#This Row],[Rok 2024]]</f>
        <v>6.0344827586206955E-2</v>
      </c>
      <c r="F25" s="22"/>
      <c r="G25" s="22"/>
    </row>
    <row r="26" spans="2:18">
      <c r="B26" s="22"/>
      <c r="C26" s="22"/>
      <c r="D26" s="22"/>
      <c r="E26" s="22"/>
      <c r="F26" s="22"/>
      <c r="G26" s="22"/>
      <c r="H26" s="22"/>
      <c r="I26" s="22"/>
    </row>
    <row r="27" spans="2:18">
      <c r="B27" s="27" t="s">
        <v>3583</v>
      </c>
      <c r="C27" s="28" t="s">
        <v>3578</v>
      </c>
      <c r="D27" s="22"/>
      <c r="E27" s="29"/>
      <c r="H27"/>
      <c r="I27"/>
      <c r="J27"/>
      <c r="K27"/>
      <c r="L27"/>
      <c r="M27"/>
      <c r="N27"/>
      <c r="O27"/>
      <c r="P27"/>
      <c r="Q27"/>
      <c r="R27"/>
    </row>
    <row r="28" spans="2:18" ht="31.2">
      <c r="B28" s="25">
        <v>2024</v>
      </c>
      <c r="C28" s="23" t="str">
        <f ca="1">IF(C21 &gt; 0, "Wskaźnik w roku "  &amp;Tabela10[[#This Row],[Płynność bieżąca]] &amp; " jest dodatni - to dobrze", "Wskaźnik w roku 2024 nie jest dodatni - to źle")</f>
        <v>Wskaźnik w roku 2024 jest dodatni - to dobrze</v>
      </c>
      <c r="D28" s="22"/>
      <c r="E28" s="22"/>
      <c r="F28" s="22"/>
      <c r="G28" s="22"/>
      <c r="H28"/>
      <c r="I28"/>
      <c r="J28"/>
      <c r="K28"/>
      <c r="L28"/>
      <c r="M28"/>
      <c r="N28"/>
      <c r="O28"/>
      <c r="P28"/>
      <c r="Q28"/>
      <c r="R28"/>
    </row>
    <row r="29" spans="2:18" ht="46.8">
      <c r="B29" s="25">
        <v>2024</v>
      </c>
      <c r="C29" s="23" t="str">
        <f ca="1">IF(AND(C21&gt;=$H$3,C21&lt;=$I$3),"Wskaźnik w " &amp;Tabela10[[#This Row],[Płynność bieżąca]] &amp;" ma wartość należącą do zalecanego okresu - to bardzo dobrze","Wskaźnik w " &amp;Tabela10[[#This Row],[Płynność bieżąca]] &amp; " ma wartość nienależącą do zalecanego okresu - to źle")</f>
        <v>Wskaźnik w 2024 ma wartość nienależącą do zalecanego okresu - to źle</v>
      </c>
      <c r="D29" s="22"/>
      <c r="E29" s="22"/>
      <c r="F29" s="22"/>
      <c r="G29" s="22"/>
      <c r="H29"/>
      <c r="I29"/>
      <c r="J29"/>
      <c r="K29"/>
      <c r="L29"/>
      <c r="M29"/>
      <c r="N29"/>
      <c r="O29"/>
      <c r="P29"/>
      <c r="Q29"/>
      <c r="R29"/>
    </row>
    <row r="30" spans="2:18">
      <c r="B30" s="25">
        <v>2024</v>
      </c>
      <c r="C30" s="23" t="str">
        <f ca="1">IF(AND(H10&lt;=0, H11&lt;=0), "UWAGA! Licznik i mianownik nie są dodatnie. Rozważ samodzielne wysnucie wniosków o wskaźniku", "Licznik i mianownik są dodatnie")</f>
        <v>Licznik i mianownik są dodatnie</v>
      </c>
      <c r="D30" s="22"/>
      <c r="E30" s="22"/>
      <c r="F30" s="22"/>
      <c r="G30" s="22"/>
      <c r="H30"/>
      <c r="I30"/>
      <c r="J30"/>
      <c r="K30"/>
      <c r="L30"/>
      <c r="M30"/>
      <c r="N30"/>
      <c r="O30"/>
      <c r="P30"/>
      <c r="Q30"/>
      <c r="R30"/>
    </row>
    <row r="31" spans="2:18" ht="31.2">
      <c r="B31" s="25">
        <v>2023</v>
      </c>
      <c r="C31" s="23" t="str">
        <f ca="1">IF(D21 &gt; 0, "Wskaźnik w roku  "&amp;Tabela10[[#This Row],[Płynność bieżąca]] &amp;" jest dodatni - to dobrze", "Wskaźnik w roku "&amp;Tabela10[[#This Row],[Płynność bieżąca]] &amp;" nie jest dodatni - to źle")</f>
        <v>Wskaźnik w roku  2023 jest dodatni - to dobrze</v>
      </c>
      <c r="D31" s="22"/>
      <c r="E31" s="22"/>
      <c r="F31" s="22"/>
      <c r="G31" s="22"/>
      <c r="H31"/>
      <c r="I31"/>
      <c r="J31"/>
      <c r="K31"/>
      <c r="L31"/>
      <c r="M31"/>
      <c r="N31"/>
      <c r="O31"/>
      <c r="P31"/>
      <c r="Q31"/>
      <c r="R31"/>
    </row>
    <row r="32" spans="2:18" ht="46.8">
      <c r="B32" s="25">
        <v>2023</v>
      </c>
      <c r="C32" s="23" t="str">
        <f ca="1">IF(AND(D21&gt;=$H$3,D21&lt;=$I$3),"Wskaźnik w "&amp;Tabela10[[#This Row],[Płynność bieżąca]] &amp;" ma wartość należącą do zalecanego okresu - to bardzo dobrze","Wskaźnik w "&amp;Tabela10[[#This Row],[Płynność bieżąca]] &amp;" ma wartość nienależącą do zalecanego okresu - to źle")</f>
        <v>Wskaźnik w 2023 ma wartość nienależącą do zalecanego okresu - to źle</v>
      </c>
      <c r="D32" s="22"/>
      <c r="E32" s="22"/>
      <c r="F32" s="22"/>
      <c r="G32" s="22"/>
      <c r="H32"/>
      <c r="I32"/>
      <c r="J32"/>
      <c r="K32"/>
      <c r="L32"/>
      <c r="M32"/>
      <c r="N32"/>
      <c r="O32"/>
      <c r="P32"/>
      <c r="Q32"/>
      <c r="R32"/>
    </row>
    <row r="33" spans="2:18">
      <c r="B33" s="25">
        <v>2023</v>
      </c>
      <c r="C33" s="23" t="str">
        <f ca="1">IF(AND(I10&lt;=0, I11&lt;=0), "UWAGA! Licznik i mianownik nie są dodatnie. Rozważ samodzielne wysnucie wniosków o wskaźniku", "Licznik i mianownik są dodatnie")</f>
        <v>Licznik i mianownik są dodatnie</v>
      </c>
      <c r="D33" s="22"/>
      <c r="E33" s="22"/>
      <c r="F33" s="22"/>
      <c r="G33" s="22"/>
      <c r="H33"/>
      <c r="I33"/>
      <c r="J33"/>
      <c r="K33"/>
      <c r="L33"/>
      <c r="M33"/>
      <c r="N33"/>
      <c r="O33"/>
      <c r="P33"/>
      <c r="Q33"/>
      <c r="R33"/>
    </row>
    <row r="34" spans="2:18">
      <c r="B34" s="24" t="s">
        <v>3612</v>
      </c>
      <c r="C34" s="23" t="str">
        <f ca="1">IF(E21&lt;0, "Spadek o " &amp; ROUND(ABS(E21)*100,0) &amp; "% - to źle", "Wzrost o " &amp; ROUND(E21*100,0) &amp; "% - to dobrze")</f>
        <v>Wzrost o 82% - to dobrze</v>
      </c>
      <c r="D34" s="22"/>
      <c r="E34" s="22"/>
      <c r="F34" s="22"/>
      <c r="G34" s="22"/>
      <c r="H34"/>
      <c r="I34"/>
      <c r="J34"/>
      <c r="K34"/>
      <c r="L34"/>
      <c r="M34"/>
      <c r="N34"/>
      <c r="O34"/>
      <c r="P34"/>
      <c r="Q34"/>
      <c r="R34"/>
    </row>
    <row r="35" spans="2:18">
      <c r="B35" s="22"/>
      <c r="C35" s="22"/>
      <c r="D35" s="22"/>
      <c r="E35" s="22"/>
      <c r="F35" s="22"/>
      <c r="G35" s="22"/>
      <c r="H35"/>
      <c r="I35"/>
      <c r="J35"/>
      <c r="K35"/>
      <c r="L35"/>
      <c r="M35"/>
      <c r="N35"/>
      <c r="O35"/>
      <c r="P35"/>
      <c r="Q35"/>
      <c r="R35"/>
    </row>
    <row r="36" spans="2:18">
      <c r="B36" s="27" t="s">
        <v>3582</v>
      </c>
      <c r="C36" s="28" t="s">
        <v>3578</v>
      </c>
      <c r="D36" s="22"/>
      <c r="E36" s="22"/>
      <c r="F36" s="22"/>
      <c r="G36" s="22"/>
      <c r="H36"/>
      <c r="I36"/>
      <c r="J36"/>
      <c r="K36"/>
      <c r="L36"/>
      <c r="M36"/>
      <c r="N36"/>
      <c r="O36"/>
      <c r="P36"/>
      <c r="Q36"/>
      <c r="R36"/>
    </row>
    <row r="37" spans="2:18" ht="31.2">
      <c r="B37" s="25">
        <v>2024</v>
      </c>
      <c r="C37" s="23" t="str">
        <f ca="1">IF(C22 &gt; 0, "Wskaźnik w roku "&amp;Tabela104[[#This Row],[Płynność szybka]] &amp;" jest dodatni - to dobrze", "Wskaźnik w roku "&amp;Tabela104[[#This Row],[Płynność szybka]] &amp;" nie jest dodatni - to źle")</f>
        <v>Wskaźnik w roku 2024 jest dodatni - to dobrze</v>
      </c>
      <c r="D37" s="22"/>
      <c r="E37" s="22"/>
      <c r="F37" s="22"/>
      <c r="G37" s="22"/>
      <c r="H37"/>
      <c r="I37"/>
      <c r="J37"/>
      <c r="K37"/>
      <c r="L37"/>
      <c r="M37"/>
      <c r="N37"/>
      <c r="O37"/>
      <c r="P37"/>
      <c r="Q37"/>
      <c r="R37"/>
    </row>
    <row r="38" spans="2:18" ht="46.8">
      <c r="B38" s="25">
        <v>2024</v>
      </c>
      <c r="C38" s="23" t="str">
        <f ca="1">IF(AND(C22&gt;=$H$4,C22&lt;=$I$4),"Wskaźnik w "&amp;Tabela104[[#This Row],[Płynność szybka]] &amp;" ma wartość należącą do zalecanego okresu - to bardzo dobrze","Wskaźnik w "&amp;Tabela104[[#This Row],[Płynność szybka]] &amp;" ma wartość nienależącą do zalecanego okresu - to źle")</f>
        <v>Wskaźnik w 2024 ma wartość nienależącą do zalecanego okresu - to źle</v>
      </c>
      <c r="D38" s="22"/>
      <c r="E38" s="22"/>
      <c r="F38" s="22"/>
      <c r="G38" s="22"/>
      <c r="H38"/>
      <c r="I38"/>
      <c r="J38"/>
      <c r="K38"/>
      <c r="L38"/>
      <c r="M38"/>
      <c r="N38"/>
      <c r="O38"/>
      <c r="P38"/>
      <c r="Q38"/>
      <c r="R38"/>
    </row>
    <row r="39" spans="2:18">
      <c r="B39" s="25">
        <v>2024</v>
      </c>
      <c r="C39" s="23" t="str">
        <f ca="1">IF(AND((H10-H12)&lt;=0, H11&lt;=0), "UWAGA! Licznik i mianownik nie są dodatnie. Rozważ samodzielne wysnucie wniosków o wskaźniku", "Licznik i mianownik są dodatnie")</f>
        <v>Licznik i mianownik są dodatnie</v>
      </c>
      <c r="D39" s="22"/>
      <c r="E39" s="22"/>
      <c r="F39" s="22"/>
      <c r="G39" s="22"/>
      <c r="H39"/>
      <c r="I39"/>
      <c r="J39"/>
      <c r="K39"/>
      <c r="L39"/>
      <c r="M39"/>
      <c r="N39"/>
      <c r="O39"/>
      <c r="P39"/>
      <c r="Q39"/>
      <c r="R39"/>
    </row>
    <row r="40" spans="2:18" ht="31.2">
      <c r="B40" s="25">
        <v>2023</v>
      </c>
      <c r="C40" s="23" t="str">
        <f ca="1">IF(D22 &gt; 0, "Wskaźnik w roku "&amp;Tabela104[[#This Row],[Płynność szybka]] &amp;" jest dodatni - to dobrze", "Wskaźnik w roku "&amp;Tabela104[[#This Row],[Płynność szybka]] &amp;" nie jest dodatni - to źle")</f>
        <v>Wskaźnik w roku 2023 jest dodatni - to dobrze</v>
      </c>
      <c r="D40" s="22"/>
      <c r="E40" s="22"/>
      <c r="F40" s="22"/>
      <c r="G40" s="22"/>
      <c r="H40"/>
      <c r="I40"/>
      <c r="J40"/>
      <c r="K40"/>
      <c r="L40"/>
      <c r="M40"/>
      <c r="N40"/>
      <c r="O40"/>
      <c r="P40"/>
      <c r="Q40"/>
      <c r="R40"/>
    </row>
    <row r="41" spans="2:18" ht="46.8">
      <c r="B41" s="25">
        <v>2023</v>
      </c>
      <c r="C41" s="23" t="str">
        <f ca="1">IF(AND(D22&gt;=$H$4,D22&lt;=$I$4),"Wskaźnik w "&amp;Tabela104[[#This Row],[Płynność szybka]] &amp;" ma wartość należącą do zalecanego okresu - to bardzo dobrze","Wskaźnik w "&amp;Tabela104[[#This Row],[Płynność szybka]] &amp;" ma wartość nienależącą do zalecanego okresu - to źle")</f>
        <v>Wskaźnik w 2023 ma wartość należącą do zalecanego okresu - to bardzo dobrze</v>
      </c>
      <c r="D41" s="22"/>
      <c r="E41" s="22"/>
      <c r="F41" s="22"/>
      <c r="G41" s="22"/>
      <c r="H41"/>
      <c r="I41"/>
      <c r="J41"/>
      <c r="K41"/>
      <c r="L41"/>
      <c r="M41"/>
      <c r="N41"/>
      <c r="O41"/>
      <c r="P41"/>
      <c r="Q41"/>
      <c r="R41"/>
    </row>
    <row r="42" spans="2:18">
      <c r="B42" s="25">
        <v>2023</v>
      </c>
      <c r="C42" s="23" t="str">
        <f ca="1">IF(AND((I10-I12)&lt;=0, I11&lt;=0), "UWAGA! Licznik i mianownik nie są dodatnie. Rozważ samodzielne wysnucie wniosków o wskaźniku", "Licznik i mianownik są dodatnie")</f>
        <v>Licznik i mianownik są dodatnie</v>
      </c>
      <c r="D42" s="22"/>
      <c r="E42" s="22"/>
      <c r="F42" s="22"/>
      <c r="G42" s="22"/>
      <c r="H42"/>
      <c r="I42"/>
      <c r="J42"/>
      <c r="K42"/>
      <c r="L42"/>
      <c r="M42"/>
      <c r="N42"/>
      <c r="O42"/>
      <c r="P42"/>
      <c r="Q42"/>
      <c r="R42"/>
    </row>
    <row r="43" spans="2:18">
      <c r="B43" s="24" t="s">
        <v>3612</v>
      </c>
      <c r="C43" s="23" t="str">
        <f ca="1">IF(E22&lt;0, "Spadek o " &amp; ROUND(ABS(E22)*100,0) &amp; "% - to źle", "Wzrost o " &amp; ROUND(E22*100,0) &amp; "% - to dobrze")</f>
        <v>Wzrost o 69% - to dobrze</v>
      </c>
      <c r="D43" s="22"/>
      <c r="E43" s="22"/>
      <c r="F43" s="22"/>
      <c r="G43" s="22"/>
      <c r="H43"/>
      <c r="I43"/>
      <c r="J43"/>
      <c r="K43"/>
      <c r="L43"/>
      <c r="M43"/>
      <c r="N43"/>
      <c r="O43"/>
      <c r="P43"/>
      <c r="Q43"/>
      <c r="R43"/>
    </row>
    <row r="44" spans="2:18">
      <c r="B44" s="22"/>
      <c r="C44" s="22"/>
      <c r="D44" s="22"/>
      <c r="E44" s="22"/>
      <c r="F44" s="22"/>
      <c r="G44" s="22"/>
      <c r="H44"/>
      <c r="I44"/>
      <c r="J44"/>
      <c r="K44"/>
      <c r="L44"/>
      <c r="M44"/>
      <c r="N44"/>
      <c r="O44"/>
      <c r="P44"/>
      <c r="Q44"/>
      <c r="R44"/>
    </row>
    <row r="45" spans="2:18">
      <c r="B45" s="27" t="s">
        <v>3581</v>
      </c>
      <c r="C45" s="28" t="s">
        <v>3578</v>
      </c>
      <c r="D45" s="22"/>
      <c r="E45" s="22"/>
      <c r="F45" s="22"/>
      <c r="G45" s="22"/>
      <c r="H45"/>
      <c r="I45"/>
      <c r="J45"/>
      <c r="K45"/>
      <c r="L45"/>
      <c r="M45"/>
      <c r="N45"/>
      <c r="O45"/>
      <c r="P45"/>
      <c r="Q45"/>
      <c r="R45"/>
    </row>
    <row r="46" spans="2:18" ht="31.2">
      <c r="B46" s="25">
        <v>2024</v>
      </c>
      <c r="C46" s="23" t="str">
        <f ca="1">IF(C23 &gt; 0, "Wskaźnik w roku "&amp;Tabela10412[[#This Row],[Płynność gotówkowa]] &amp;" jest dodatni - to dobrze", "Wskaźnik w roku "&amp;Tabela10412[[#This Row],[Płynność gotówkowa]] &amp;" nie jest dodatni - to źle")</f>
        <v>Wskaźnik w roku 2024 jest dodatni - to dobrze</v>
      </c>
      <c r="D46" s="22"/>
      <c r="E46" s="22"/>
      <c r="F46" s="22"/>
      <c r="G46" s="22"/>
      <c r="H46" s="22"/>
      <c r="I46" s="22"/>
    </row>
    <row r="47" spans="2:18" ht="46.8">
      <c r="B47" s="25">
        <v>2024</v>
      </c>
      <c r="C47" s="23" t="str">
        <f ca="1">IF(AND(C23&gt;=$H$5,C23&lt;=$I$5),"Wskaźnik w "&amp;Tabela10412[[#This Row],[Płynność gotówkowa]] &amp;" ma wartość należącą do zalecanego okresu - to bardzo dobrze","Wskaźnik w "&amp;Tabela10412[[#This Row],[Płynność gotówkowa]] &amp;" ma wartość nienależącą do zalecanego okresu - to źle")</f>
        <v>Wskaźnik w 2024 ma wartość należącą do zalecanego okresu - to bardzo dobrze</v>
      </c>
      <c r="D47" s="22"/>
      <c r="E47" s="22"/>
      <c r="F47" s="22"/>
      <c r="G47" s="22"/>
      <c r="H47" s="22"/>
      <c r="I47" s="22"/>
    </row>
    <row r="48" spans="2:18">
      <c r="B48" s="25">
        <v>2024</v>
      </c>
      <c r="C48" s="23" t="str">
        <f ca="1">IF(AND(H13&lt;=0, H11&lt;=0), "UWAGA! Licznik i mianownik nie są dodatnie. Rozważ samodzielne wysnucie wniosków o wskaźniku", "Licznik i mianownik są dodatnie")</f>
        <v>Licznik i mianownik są dodatnie</v>
      </c>
      <c r="D48" s="22"/>
      <c r="E48" s="22"/>
      <c r="F48" s="22"/>
      <c r="G48" s="22"/>
      <c r="H48" s="22"/>
      <c r="I48" s="22"/>
    </row>
    <row r="49" spans="2:9" ht="31.2">
      <c r="B49" s="25">
        <v>2023</v>
      </c>
      <c r="C49" s="23" t="str">
        <f ca="1">IF(D23 &gt; 0, "Wskaźnik w roku "&amp;Tabela10412[[#This Row],[Płynność gotówkowa]] &amp;" jest dodatni - to dobrze", "Wskaźnik w roku "&amp;Tabela10412[[#This Row],[Płynność gotówkowa]] &amp;" nie jest dodatni - to źle")</f>
        <v>Wskaźnik w roku 2023 jest dodatni - to dobrze</v>
      </c>
      <c r="D49" s="22"/>
      <c r="E49" s="22"/>
      <c r="F49" s="22"/>
      <c r="G49" s="22"/>
      <c r="H49" s="22"/>
      <c r="I49" s="22"/>
    </row>
    <row r="50" spans="2:9" ht="46.8">
      <c r="B50" s="25">
        <v>2023</v>
      </c>
      <c r="C50" s="23" t="str">
        <f ca="1">IF(AND(D23&gt;=$H$5,D23&lt;=$I$5),"Wskaźnik w "&amp;Tabela10412[[#This Row],[Płynność gotówkowa]] &amp;" ma wartość należącą do zalecanego okresu - to bardzo dobrze","Wskaźnik w "&amp;Tabela10412[[#This Row],[Płynność gotówkowa]] &amp;" ma wartość nienależącą do zalecanego okresu - to źle")</f>
        <v>Wskaźnik w 2023 ma wartość nienależącą do zalecanego okresu - to źle</v>
      </c>
      <c r="D50" s="22"/>
      <c r="E50" s="22"/>
      <c r="F50" s="22"/>
      <c r="G50" s="22"/>
      <c r="H50" s="22"/>
      <c r="I50" s="22"/>
    </row>
    <row r="51" spans="2:9">
      <c r="B51" s="25">
        <v>2023</v>
      </c>
      <c r="C51" s="23" t="str">
        <f ca="1">IF(AND(I13&lt;=0, I11&lt;=0), "UWAGA! Licznik i mianownik nie są dodatnie. Rozważ samodzielne wysnucie wniosków o wskaźniku", "Licznik i mianownik są dodatnie")</f>
        <v>Licznik i mianownik są dodatnie</v>
      </c>
      <c r="D51" s="22"/>
      <c r="E51" s="22"/>
      <c r="F51" s="22"/>
      <c r="G51" s="22"/>
      <c r="H51" s="22"/>
      <c r="I51" s="22"/>
    </row>
    <row r="52" spans="2:9">
      <c r="B52" s="24" t="s">
        <v>3612</v>
      </c>
      <c r="C52" s="23" t="str">
        <f ca="1">IF(E23&lt;0, "Spadek o " &amp; ROUND(ABS(E23)*100,0) &amp; "% - to źle", "Wzrost o " &amp; ROUND(E23*100,0) &amp; "% - to dobrze")</f>
        <v>Wzrost o 130% - to dobrze</v>
      </c>
      <c r="D52" s="22"/>
      <c r="E52" s="22"/>
      <c r="F52" s="22"/>
      <c r="G52" s="22"/>
      <c r="H52" s="22"/>
      <c r="I52" s="22"/>
    </row>
    <row r="53" spans="2:9">
      <c r="B53" s="22"/>
      <c r="C53" s="22"/>
      <c r="D53" s="22"/>
      <c r="E53" s="22"/>
      <c r="F53" s="22"/>
      <c r="G53" s="22"/>
      <c r="H53" s="22"/>
      <c r="I53" s="22"/>
    </row>
    <row r="54" spans="2:9">
      <c r="B54" s="27" t="s">
        <v>3580</v>
      </c>
      <c r="C54" s="26" t="s">
        <v>3578</v>
      </c>
      <c r="D54" s="22"/>
      <c r="E54" s="22"/>
      <c r="F54" s="22"/>
      <c r="G54" s="22"/>
      <c r="H54" s="22"/>
      <c r="I54" s="22"/>
    </row>
    <row r="55" spans="2:9" ht="31.2">
      <c r="B55" s="25">
        <v>2024</v>
      </c>
      <c r="C55" s="23" t="str">
        <f ca="1">IF(C24 &gt; 0, "Wskaźnik w roku "&amp;Tabela1041214[[#This Row],[Wskaźnik bieżącej wypłacalności]]&amp;" jest dodatni - to dobrze", "Wskaźnik w roku "&amp;Tabela1041214[[#This Row],[Wskaźnik bieżącej wypłacalności]]&amp;" nie jest dodatni - to źle")</f>
        <v>Wskaźnik w roku 2024 jest dodatni - to dobrze</v>
      </c>
      <c r="D55" s="22"/>
      <c r="E55" s="22"/>
      <c r="F55" s="22"/>
      <c r="G55" s="22"/>
      <c r="H55" s="22"/>
      <c r="I55" s="22"/>
    </row>
    <row r="56" spans="2:9" ht="46.8">
      <c r="B56" s="25">
        <v>2024</v>
      </c>
      <c r="C56" s="23" t="str">
        <f ca="1">IF(AND(C24&gt;=$H$6,C24&lt;=$I$6),"Wskaźnik w "&amp;Tabela1041214[[#This Row],[Wskaźnik bieżącej wypłacalności]]&amp;" ma wartość należącą do zalecanego okresu - to bardzo dobrze","Wskaźnik w "&amp;Tabela1041214[[#This Row],[Wskaźnik bieżącej wypłacalności]]&amp;" ma wartość nienależącą do zalecanego okresu - to źle")</f>
        <v>Wskaźnik w 2024 ma wartość należącą do zalecanego okresu - to bardzo dobrze</v>
      </c>
      <c r="D56" s="22"/>
      <c r="E56" s="22"/>
      <c r="F56" s="22"/>
      <c r="G56" s="22"/>
      <c r="H56" s="22"/>
      <c r="I56" s="22"/>
    </row>
    <row r="57" spans="2:9">
      <c r="B57" s="25">
        <v>2024</v>
      </c>
      <c r="C57" s="23" t="str">
        <f ca="1">IF(AND(H13+H14&lt;=0, H15&lt;=0), "UWAGA! Licznik i mianownik nie są dodatnie. Rozważ samodzielne wysnucie wniosków o wskaźniku", "Licznik i mianownik są dodatnie")</f>
        <v>Licznik i mianownik są dodatnie</v>
      </c>
      <c r="D57" s="22"/>
      <c r="E57" s="22"/>
      <c r="F57" s="22"/>
      <c r="G57" s="22"/>
      <c r="H57" s="22"/>
      <c r="I57" s="22"/>
    </row>
    <row r="58" spans="2:9" ht="31.2">
      <c r="B58" s="25">
        <v>2023</v>
      </c>
      <c r="C58" s="23" t="str">
        <f ca="1">IF(D24 &gt; 0, "Wskaźnik w roku "&amp;Tabela1041214[[#This Row],[Wskaźnik bieżącej wypłacalności]]&amp;" jest dodatni - to dobrze", "Wskaźnik w roku "&amp;Tabela1041214[[#This Row],[Wskaźnik bieżącej wypłacalności]]&amp;" nie jest dodatni - to źle")</f>
        <v>Wskaźnik w roku 2023 jest dodatni - to dobrze</v>
      </c>
      <c r="D58" s="22"/>
      <c r="E58" s="22"/>
      <c r="F58" s="22"/>
      <c r="G58" s="22"/>
      <c r="H58" s="22"/>
      <c r="I58" s="22"/>
    </row>
    <row r="59" spans="2:9" ht="46.8">
      <c r="B59" s="25">
        <v>2023</v>
      </c>
      <c r="C59" s="23" t="str">
        <f ca="1">IF(AND(D24&gt;=$H$6,D24&lt;=$I$6),"Wskaźnik w 2023 ma wartość należącą do zalecanego okresu - to bardzo dobrze","Wskaźnik w 2023 ma wartość nienależącą do zalecanego okresu - to źle")</f>
        <v>Wskaźnik w 2023 ma wartość należącą do zalecanego okresu - to bardzo dobrze</v>
      </c>
      <c r="D59" s="22"/>
      <c r="E59" s="22"/>
      <c r="F59" s="22"/>
      <c r="G59" s="22"/>
      <c r="H59" s="22"/>
      <c r="I59" s="22"/>
    </row>
    <row r="60" spans="2:9">
      <c r="B60" s="25">
        <v>2023</v>
      </c>
      <c r="C60" s="23" t="str">
        <f ca="1">IF(AND(I13+I14&lt;=0, I15&lt;=0), "UWAGA! Licznik i mianownik nie są dodatnie. Rozważ samodzielne wysnucie wniosków o wskaźniku", "Licznik i mianownik są dodatnie")</f>
        <v>Licznik i mianownik są dodatnie</v>
      </c>
      <c r="D60" s="22"/>
      <c r="E60" s="22"/>
      <c r="F60" s="22"/>
      <c r="G60" s="22"/>
      <c r="H60" s="22"/>
      <c r="I60" s="22"/>
    </row>
    <row r="61" spans="2:9">
      <c r="B61" s="24" t="s">
        <v>3612</v>
      </c>
      <c r="C61" s="23" t="str">
        <f ca="1">IF(E24&lt;0, "Spadek o " &amp; ROUND(ABS(E24)*100,0) &amp; "% - to źle", "Wzrost o " &amp; ROUND(E24*100,0) &amp; "% - to dobrze")</f>
        <v>Wzrost o 83% - to dobrze</v>
      </c>
      <c r="D61" s="22"/>
      <c r="E61" s="22"/>
      <c r="F61" s="22"/>
      <c r="G61" s="22"/>
      <c r="H61" s="22"/>
      <c r="I61" s="22"/>
    </row>
    <row r="62" spans="2:9">
      <c r="B62" s="22"/>
      <c r="C62" s="22"/>
      <c r="D62" s="22"/>
      <c r="E62" s="22"/>
      <c r="F62" s="22"/>
      <c r="G62" s="22"/>
      <c r="H62" s="22"/>
      <c r="I62" s="22"/>
    </row>
    <row r="63" spans="2:9">
      <c r="B63" s="27" t="s">
        <v>3579</v>
      </c>
      <c r="C63" s="26" t="s">
        <v>3578</v>
      </c>
      <c r="D63" s="22"/>
      <c r="E63" s="22"/>
      <c r="F63" s="22"/>
      <c r="G63" s="22"/>
      <c r="H63" s="22"/>
      <c r="I63" s="22"/>
    </row>
    <row r="64" spans="2:9" ht="31.2">
      <c r="B64" s="25">
        <v>2024</v>
      </c>
      <c r="C64" s="23" t="str">
        <f ca="1">IF(C25 &gt; 0, "Wskaźnik w roku "&amp;Tabela104121415[[#This Row],[Rotacja zapasów]]&amp;" jest dodatni - to dobrze", "Wskaźnik w roku "&amp;Tabela104121415[[#This Row],[Rotacja zapasów]]&amp;" nie jest dodatni - to źle")</f>
        <v>Wskaźnik w roku 2024 nie jest dodatni - to źle</v>
      </c>
      <c r="D64" s="22"/>
      <c r="E64" s="22"/>
      <c r="F64" s="22"/>
      <c r="G64" s="22"/>
      <c r="H64" s="22"/>
      <c r="I64" s="22"/>
    </row>
    <row r="65" spans="2:9" ht="46.8">
      <c r="B65" s="25">
        <v>2024</v>
      </c>
      <c r="C65" s="23" t="str">
        <f ca="1">IF(AND(C25&gt;=$H$7,C25&lt;=$I$7),"Wskaźnik w "&amp;Tabela104121415[[#This Row],[Rotacja zapasów]]&amp;" ma wartość należącą do zalecanego okresu - to bardzo dobrze","Wskaźnik w 2024 ma wartość nienależącą do zalecanego okresu - to źle")</f>
        <v>Wskaźnik w 2024 ma wartość nienależącą do zalecanego okresu - to źle</v>
      </c>
      <c r="D65" s="22"/>
      <c r="E65" s="22"/>
      <c r="F65" s="22"/>
      <c r="G65" s="22"/>
      <c r="H65" s="22"/>
      <c r="I65" s="22"/>
    </row>
    <row r="66" spans="2:9">
      <c r="B66" s="25">
        <v>2024</v>
      </c>
      <c r="C66" s="23" t="str">
        <f ca="1">IF(AND((H16*H18)&lt;=0, H17&lt;=0), "UWAGA! Licznik i mianownik nie są dodatnie. Rozważ samodzielne wysnucie wniosków o wskaźniku", "Licznik i mianownik są dodatnie")</f>
        <v>Licznik i mianownik są dodatnie</v>
      </c>
      <c r="D66" s="22"/>
      <c r="E66" s="22"/>
      <c r="F66" s="22"/>
      <c r="G66" s="22"/>
      <c r="H66" s="22"/>
      <c r="I66" s="22"/>
    </row>
    <row r="67" spans="2:9" ht="31.2">
      <c r="B67" s="25">
        <v>2023</v>
      </c>
      <c r="C67" s="23" t="str">
        <f ca="1">IF(D25 &gt; 0, "Wskaźnik w roku "&amp;Tabela104121415[[#This Row],[Rotacja zapasów]]&amp;" jest dodatni - to dobrze", "Wskaźnik w roku "&amp;Tabela104121415[[#This Row],[Rotacja zapasów]]&amp;" nie jest dodatni - to źle")</f>
        <v>Wskaźnik w roku 2023 nie jest dodatni - to źle</v>
      </c>
      <c r="D67" s="22"/>
      <c r="E67" s="22"/>
      <c r="F67" s="22"/>
      <c r="G67" s="22"/>
      <c r="H67" s="22"/>
      <c r="I67" s="22"/>
    </row>
    <row r="68" spans="2:9" ht="46.8">
      <c r="B68" s="25">
        <v>2023</v>
      </c>
      <c r="C68" s="23" t="str">
        <f ca="1">IF(AND(D25&gt;=$H$7,D25&lt;=$I$7),"Wskaźnik w "&amp;Tabela104121415[[#This Row],[Rotacja zapasów]]&amp;" ma wartość należącą do zalecanego okresu - to bardzo dobrze","Wskaźnik w "&amp;Tabela104121415[[#This Row],[Rotacja zapasów]]&amp;" ma wartość nienależącą do zalecanego okresu - to źle")</f>
        <v>Wskaźnik w 2023 ma wartość nienależącą do zalecanego okresu - to źle</v>
      </c>
      <c r="D68" s="22"/>
      <c r="E68" s="22"/>
      <c r="F68" s="22"/>
      <c r="G68" s="22"/>
      <c r="H68" s="22"/>
      <c r="I68" s="22"/>
    </row>
    <row r="69" spans="2:9">
      <c r="B69" s="25">
        <v>2023</v>
      </c>
      <c r="C69" s="23" t="str">
        <f ca="1">IF(AND((I16*I18)&lt;=0, I17&lt;=0), "UWAGA! Licznik i mianownik nie są dodatnie. Rozważ samodzielne wysnucie wniosków o wskaźniku", "Licznik i mianownik są dodatnie")</f>
        <v>Licznik i mianownik są dodatnie</v>
      </c>
      <c r="D69" s="22"/>
      <c r="E69" s="22"/>
      <c r="F69" s="22"/>
      <c r="G69" s="22"/>
      <c r="H69" s="22"/>
      <c r="I69" s="22"/>
    </row>
    <row r="70" spans="2:9">
      <c r="B70" s="24" t="s">
        <v>3612</v>
      </c>
      <c r="C70" s="23" t="str">
        <f ca="1">IF(E25&lt;0, "Spadek o " &amp; ROUND(ABS(E25)*100,0) &amp; "% - to źle", "Wzrost o " &amp; ROUND(E25*100,0) &amp; "% - to dobrze")</f>
        <v>Wzrost o 6% - to dobrze</v>
      </c>
      <c r="D70" s="22"/>
      <c r="E70" s="22"/>
      <c r="F70" s="22"/>
      <c r="G70" s="22"/>
      <c r="H70" s="22"/>
      <c r="I70" s="22"/>
    </row>
    <row r="71" spans="2:9">
      <c r="B71" s="22"/>
      <c r="C71" s="22"/>
      <c r="D71" s="22"/>
      <c r="E71" s="22"/>
      <c r="F71" s="22"/>
      <c r="G71" s="22"/>
      <c r="H71" s="22"/>
      <c r="I71" s="22"/>
    </row>
    <row r="72" spans="2:9">
      <c r="D72" s="22"/>
      <c r="E72" s="22"/>
      <c r="F72" s="22"/>
      <c r="G72" s="22"/>
      <c r="H72" s="22"/>
      <c r="I72" s="22"/>
    </row>
    <row r="73" spans="2:9">
      <c r="D73" s="22"/>
      <c r="E73" s="22"/>
      <c r="F73" s="22"/>
      <c r="G73" s="22"/>
      <c r="H73" s="22"/>
      <c r="I73" s="22"/>
    </row>
    <row r="74" spans="2:9">
      <c r="D74" s="22"/>
      <c r="E74" s="22"/>
      <c r="F74" s="22"/>
      <c r="G74" s="22"/>
      <c r="H74" s="22"/>
      <c r="I74" s="22"/>
    </row>
    <row r="75" spans="2:9">
      <c r="D75" s="22"/>
      <c r="E75" s="22"/>
      <c r="F75" s="22"/>
      <c r="G75" s="22"/>
      <c r="H75" s="22"/>
      <c r="I75" s="22"/>
    </row>
    <row r="76" spans="2:9">
      <c r="D76" s="22"/>
      <c r="E76" s="22"/>
      <c r="F76" s="22"/>
      <c r="G76" s="22"/>
      <c r="H76" s="22"/>
      <c r="I76" s="22"/>
    </row>
    <row r="77" spans="2:9">
      <c r="D77" s="22"/>
      <c r="E77" s="22"/>
      <c r="F77" s="22"/>
      <c r="G77" s="22"/>
      <c r="H77" s="22"/>
      <c r="I77" s="22"/>
    </row>
    <row r="78" spans="2:9">
      <c r="D78" s="22"/>
      <c r="E78" s="22"/>
      <c r="F78" s="22"/>
      <c r="G78" s="22"/>
      <c r="H78" s="22"/>
      <c r="I78" s="22"/>
    </row>
    <row r="79" spans="2:9">
      <c r="D79" s="22"/>
      <c r="E79" s="22"/>
      <c r="F79" s="22"/>
      <c r="G79" s="22"/>
      <c r="H79" s="22"/>
      <c r="I79" s="22"/>
    </row>
    <row r="80" spans="2:9">
      <c r="D80" s="22"/>
      <c r="E80" s="22"/>
      <c r="F80" s="22"/>
      <c r="G80" s="22"/>
      <c r="H80" s="22"/>
      <c r="I80" s="22"/>
    </row>
    <row r="81" spans="4:9">
      <c r="D81" s="22"/>
      <c r="E81" s="22"/>
      <c r="F81" s="22"/>
      <c r="G81" s="22"/>
      <c r="H81" s="22"/>
      <c r="I81" s="22"/>
    </row>
    <row r="82" spans="4:9">
      <c r="D82" s="22"/>
      <c r="E82" s="22"/>
      <c r="F82" s="22"/>
      <c r="G82" s="22"/>
      <c r="H82" s="22"/>
      <c r="I82" s="22"/>
    </row>
    <row r="83" spans="4:9">
      <c r="D83" s="22"/>
      <c r="E83" s="22"/>
      <c r="F83" s="22"/>
      <c r="G83" s="22"/>
      <c r="H83" s="22"/>
      <c r="I83" s="22"/>
    </row>
    <row r="84" spans="4:9">
      <c r="D84" s="22"/>
      <c r="E84" s="22"/>
      <c r="F84" s="22"/>
      <c r="G84" s="22"/>
      <c r="H84" s="22"/>
      <c r="I84" s="22"/>
    </row>
    <row r="85" spans="4:9">
      <c r="D85" s="22"/>
      <c r="E85" s="22"/>
      <c r="F85" s="22"/>
      <c r="G85" s="22"/>
      <c r="H85" s="22"/>
      <c r="I85" s="22"/>
    </row>
    <row r="86" spans="4:9">
      <c r="D86" s="22"/>
      <c r="E86" s="22"/>
      <c r="F86" s="22"/>
      <c r="G86" s="22"/>
      <c r="H86" s="22"/>
      <c r="I86" s="22"/>
    </row>
    <row r="87" spans="4:9">
      <c r="D87" s="22"/>
      <c r="E87" s="22"/>
      <c r="F87" s="22"/>
      <c r="G87" s="22"/>
      <c r="H87" s="22"/>
      <c r="I87" s="22"/>
    </row>
    <row r="88" spans="4:9">
      <c r="D88" s="22"/>
      <c r="E88" s="22"/>
      <c r="F88" s="22"/>
      <c r="G88" s="22"/>
      <c r="H88" s="22"/>
      <c r="I88" s="22"/>
    </row>
    <row r="89" spans="4:9">
      <c r="D89" s="22"/>
      <c r="E89" s="22"/>
      <c r="F89" s="22"/>
      <c r="G89" s="22"/>
      <c r="H89" s="22"/>
      <c r="I89" s="22"/>
    </row>
    <row r="90" spans="4:9">
      <c r="D90" s="22"/>
      <c r="E90" s="22"/>
      <c r="F90" s="22"/>
      <c r="G90" s="22"/>
      <c r="H90" s="22"/>
      <c r="I90" s="22"/>
    </row>
    <row r="91" spans="4:9">
      <c r="D91" s="22"/>
      <c r="E91" s="22"/>
      <c r="F91" s="22"/>
      <c r="G91" s="22"/>
      <c r="H91" s="22"/>
      <c r="I91" s="22"/>
    </row>
  </sheetData>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70DD7-200A-4D82-8665-0EA8D48D639C}">
  <sheetPr codeName="Arkusz31"/>
  <dimension ref="A1:Q104"/>
  <sheetViews>
    <sheetView zoomScale="40" zoomScaleNormal="40" workbookViewId="0">
      <selection activeCell="C25" sqref="C25:F26"/>
    </sheetView>
  </sheetViews>
  <sheetFormatPr defaultColWidth="12.44140625" defaultRowHeight="15.6"/>
  <cols>
    <col min="1" max="1" width="12.44140625" style="81"/>
    <col min="2" max="2" width="61.6640625" style="47" customWidth="1"/>
    <col min="3" max="3" width="53.5546875" style="47" customWidth="1"/>
    <col min="4" max="4" width="36.6640625" style="47" customWidth="1"/>
    <col min="5" max="5" width="31.6640625" style="47" customWidth="1"/>
    <col min="6" max="6" width="43.77734375" style="47" customWidth="1"/>
    <col min="7" max="7" width="25.77734375" style="47" customWidth="1"/>
    <col min="8" max="8" width="75.77734375" style="47" customWidth="1"/>
    <col min="9" max="9" width="46.77734375" style="47" customWidth="1"/>
    <col min="10" max="10" width="49.21875" style="47" customWidth="1"/>
    <col min="11" max="11" width="46.21875" style="47" customWidth="1"/>
    <col min="12" max="12" width="83.21875" style="47" customWidth="1"/>
    <col min="13" max="13" width="71.77734375" style="47" customWidth="1"/>
    <col min="14" max="14" width="61.21875" style="47" customWidth="1"/>
    <col min="15" max="15" width="54.77734375" style="47" customWidth="1"/>
    <col min="16" max="16384" width="12.44140625" style="47"/>
  </cols>
  <sheetData>
    <row r="1" spans="2:15">
      <c r="B1" s="81"/>
      <c r="C1" s="81"/>
      <c r="D1" s="81"/>
      <c r="E1" s="81"/>
      <c r="F1" s="81"/>
      <c r="G1" s="81"/>
      <c r="H1" s="81"/>
      <c r="I1" s="81"/>
      <c r="J1" s="81"/>
      <c r="K1" s="81"/>
      <c r="L1" s="81"/>
      <c r="M1" s="81"/>
      <c r="N1" s="81"/>
      <c r="O1" s="81"/>
    </row>
    <row r="2" spans="2:15">
      <c r="B2" s="81"/>
      <c r="C2" s="81"/>
      <c r="D2" s="81"/>
      <c r="E2" s="81"/>
      <c r="F2" s="81"/>
      <c r="G2" s="81"/>
      <c r="H2" s="81"/>
      <c r="I2" s="81"/>
      <c r="J2" s="81"/>
      <c r="K2" s="81"/>
      <c r="L2" s="81"/>
      <c r="M2" s="81"/>
      <c r="N2" s="81"/>
      <c r="O2" s="81"/>
    </row>
    <row r="3" spans="2:15" ht="16.2" thickBot="1">
      <c r="L3" s="46"/>
      <c r="M3" s="46"/>
      <c r="N3" s="46"/>
      <c r="O3" s="46"/>
    </row>
    <row r="4" spans="2:15" ht="7.95" customHeight="1">
      <c r="B4" s="93" t="s">
        <v>3631</v>
      </c>
      <c r="C4" s="94"/>
      <c r="D4" s="94"/>
      <c r="E4" s="94"/>
      <c r="F4" s="94"/>
      <c r="G4" s="95"/>
      <c r="H4" s="49"/>
      <c r="I4" s="49"/>
      <c r="J4" s="49"/>
      <c r="K4" s="49"/>
      <c r="L4" s="46"/>
      <c r="M4" s="46"/>
      <c r="N4" s="46"/>
      <c r="O4" s="46"/>
    </row>
    <row r="5" spans="2:15" ht="15.45" hidden="1" customHeight="1">
      <c r="B5" s="96"/>
      <c r="C5" s="97"/>
      <c r="D5" s="97"/>
      <c r="E5" s="97"/>
      <c r="F5" s="97"/>
      <c r="G5" s="98"/>
      <c r="H5" s="49"/>
      <c r="I5" s="49"/>
      <c r="J5" s="49"/>
      <c r="K5" s="49"/>
      <c r="L5" s="46"/>
      <c r="M5" s="46"/>
      <c r="N5" s="46"/>
      <c r="O5" s="46"/>
    </row>
    <row r="6" spans="2:15" ht="52.05" hidden="1" customHeight="1">
      <c r="B6" s="96"/>
      <c r="C6" s="97"/>
      <c r="D6" s="97"/>
      <c r="E6" s="97"/>
      <c r="F6" s="97"/>
      <c r="G6" s="98"/>
      <c r="H6" s="49"/>
      <c r="I6" s="49"/>
      <c r="J6" s="49"/>
      <c r="K6" s="49"/>
      <c r="L6" s="46"/>
      <c r="M6" s="46"/>
      <c r="N6" s="46"/>
      <c r="O6" s="46"/>
    </row>
    <row r="7" spans="2:15" ht="42" customHeight="1" thickBot="1">
      <c r="B7" s="99"/>
      <c r="C7" s="100"/>
      <c r="D7" s="97"/>
      <c r="E7" s="97"/>
      <c r="F7" s="97"/>
      <c r="G7" s="98"/>
      <c r="H7" s="49"/>
      <c r="I7" s="49"/>
      <c r="J7" s="49"/>
      <c r="K7" s="49"/>
      <c r="L7" s="46"/>
      <c r="M7" s="46"/>
      <c r="N7" s="46"/>
      <c r="O7" s="46"/>
    </row>
    <row r="8" spans="2:15" ht="55.2" customHeight="1" thickBot="1">
      <c r="B8" s="50" t="s">
        <v>3606</v>
      </c>
      <c r="C8" s="54" t="s">
        <v>3623</v>
      </c>
      <c r="D8" s="55">
        <v>2024</v>
      </c>
      <c r="E8" s="53">
        <v>2023</v>
      </c>
      <c r="F8" s="82" t="s">
        <v>3635</v>
      </c>
      <c r="G8" s="83"/>
      <c r="H8" s="46"/>
      <c r="I8" s="46"/>
      <c r="J8" s="46"/>
      <c r="K8" s="46"/>
    </row>
    <row r="9" spans="2:15" ht="18" thickBot="1">
      <c r="B9" s="84" t="s">
        <v>3624</v>
      </c>
      <c r="C9" s="57" t="s">
        <v>3633</v>
      </c>
      <c r="D9" s="58">
        <f ca="1">Wskaźniki!C21</f>
        <v>0.44728113378228967</v>
      </c>
      <c r="E9" s="58">
        <f ca="1">Wskaźniki!D21</f>
        <v>0.81273178524562095</v>
      </c>
      <c r="F9" s="58">
        <f ca="1">(D9-E9)/E9</f>
        <v>-0.44965714162746329</v>
      </c>
      <c r="G9" s="58" t="str">
        <f t="shared" ref="G9:G23" ca="1" si="0">IF(F9&gt;0,"rosnąca","malejąca")</f>
        <v>malejąca</v>
      </c>
      <c r="H9" s="46"/>
      <c r="I9" s="46"/>
      <c r="J9" s="46"/>
      <c r="K9" s="46"/>
    </row>
    <row r="10" spans="2:15" ht="18.600000000000001" thickTop="1" thickBot="1">
      <c r="B10" s="85"/>
      <c r="C10" s="56" t="s">
        <v>3632</v>
      </c>
      <c r="D10" s="52">
        <v>0.97</v>
      </c>
      <c r="E10" s="52">
        <v>1.34</v>
      </c>
      <c r="F10" s="58">
        <f t="shared" ref="F10:F23" si="1">(D10-E10)/E10</f>
        <v>-0.2761194029850747</v>
      </c>
      <c r="G10" s="58" t="str">
        <f t="shared" si="0"/>
        <v>malejąca</v>
      </c>
      <c r="H10" s="46"/>
      <c r="I10" s="46"/>
      <c r="J10" s="46"/>
      <c r="K10" s="46"/>
    </row>
    <row r="11" spans="2:15" ht="18.600000000000001" thickTop="1" thickBot="1">
      <c r="B11" s="86"/>
      <c r="C11" s="60" t="s">
        <v>3634</v>
      </c>
      <c r="D11" s="51">
        <v>1.1200000000000001</v>
      </c>
      <c r="E11" s="51">
        <v>1.24</v>
      </c>
      <c r="F11" s="58">
        <f t="shared" si="1"/>
        <v>-9.6774193548387011E-2</v>
      </c>
      <c r="G11" s="58" t="str">
        <f t="shared" si="0"/>
        <v>malejąca</v>
      </c>
      <c r="H11" s="46"/>
      <c r="I11" s="46"/>
      <c r="J11" s="46"/>
      <c r="K11" s="46"/>
    </row>
    <row r="12" spans="2:15" ht="18" thickBot="1">
      <c r="B12" s="87" t="s">
        <v>3625</v>
      </c>
      <c r="C12" s="63" t="s">
        <v>3633</v>
      </c>
      <c r="D12" s="59">
        <f ca="1">Wskaźniki!C22</f>
        <v>0.5809182385722742</v>
      </c>
      <c r="E12" s="59">
        <f ca="1">Wskaźniki!D22</f>
        <v>0.97988817253380489</v>
      </c>
      <c r="F12" s="58">
        <f t="shared" ca="1" si="1"/>
        <v>-0.40715863824529092</v>
      </c>
      <c r="G12" s="58" t="str">
        <f t="shared" ca="1" si="0"/>
        <v>malejąca</v>
      </c>
      <c r="H12" s="46"/>
      <c r="I12" s="46"/>
      <c r="J12" s="46"/>
      <c r="K12" s="46"/>
    </row>
    <row r="13" spans="2:15" ht="18.600000000000001" thickTop="1" thickBot="1">
      <c r="B13" s="88"/>
      <c r="C13" s="62" t="s">
        <v>3632</v>
      </c>
      <c r="D13" s="52">
        <v>0.53</v>
      </c>
      <c r="E13" s="52">
        <v>0.67</v>
      </c>
      <c r="F13" s="58">
        <f t="shared" si="1"/>
        <v>-0.20895522388059704</v>
      </c>
      <c r="G13" s="58" t="str">
        <f t="shared" si="0"/>
        <v>malejąca</v>
      </c>
      <c r="H13" s="46"/>
      <c r="I13" s="46"/>
      <c r="J13" s="46"/>
      <c r="K13" s="46"/>
    </row>
    <row r="14" spans="2:15" ht="18.600000000000001" thickTop="1" thickBot="1">
      <c r="B14" s="89"/>
      <c r="C14" s="61" t="s">
        <v>3634</v>
      </c>
      <c r="D14" s="51">
        <v>0.78</v>
      </c>
      <c r="E14" s="51">
        <v>0.46</v>
      </c>
      <c r="F14" s="58">
        <f t="shared" si="1"/>
        <v>0.69565217391304346</v>
      </c>
      <c r="G14" s="58" t="str">
        <f t="shared" si="0"/>
        <v>rosnąca</v>
      </c>
      <c r="H14" s="46"/>
      <c r="I14" s="46"/>
      <c r="J14" s="46"/>
      <c r="K14" s="46"/>
    </row>
    <row r="15" spans="2:15" ht="18" thickBot="1">
      <c r="B15" s="87" t="s">
        <v>3636</v>
      </c>
      <c r="C15" s="63" t="s">
        <v>3633</v>
      </c>
      <c r="D15" s="59">
        <f ca="1">Wskaźniki!C23</f>
        <v>0.30051038071944697</v>
      </c>
      <c r="E15" s="59">
        <f ca="1">Wskaźniki!D23</f>
        <v>0.69006390140925422</v>
      </c>
      <c r="F15" s="58">
        <f t="shared" ca="1" si="1"/>
        <v>-0.56451803940802847</v>
      </c>
      <c r="G15" s="58" t="str">
        <f t="shared" ca="1" si="0"/>
        <v>malejąca</v>
      </c>
      <c r="H15" s="46"/>
      <c r="I15" s="46"/>
      <c r="J15" s="46"/>
      <c r="K15" s="46"/>
    </row>
    <row r="16" spans="2:15" ht="18.600000000000001" thickTop="1" thickBot="1">
      <c r="B16" s="88"/>
      <c r="C16" s="62" t="s">
        <v>3632</v>
      </c>
      <c r="D16" s="52">
        <v>0.6</v>
      </c>
      <c r="E16" s="52">
        <v>0.54</v>
      </c>
      <c r="F16" s="58">
        <f t="shared" si="1"/>
        <v>0.11111111111111099</v>
      </c>
      <c r="G16" s="58" t="str">
        <f t="shared" si="0"/>
        <v>rosnąca</v>
      </c>
      <c r="H16" s="46"/>
      <c r="I16" s="46"/>
      <c r="J16" s="46"/>
      <c r="K16" s="46"/>
    </row>
    <row r="17" spans="2:13" ht="18.600000000000001" thickTop="1" thickBot="1">
      <c r="B17" s="89"/>
      <c r="C17" s="61" t="s">
        <v>3634</v>
      </c>
      <c r="D17" s="51">
        <v>0.79</v>
      </c>
      <c r="E17" s="51">
        <v>0.92</v>
      </c>
      <c r="F17" s="58">
        <f t="shared" si="1"/>
        <v>-0.14130434782608695</v>
      </c>
      <c r="G17" s="58" t="str">
        <f t="shared" si="0"/>
        <v>malejąca</v>
      </c>
      <c r="H17" s="46"/>
      <c r="I17" s="46"/>
      <c r="J17" s="46"/>
      <c r="K17" s="46"/>
    </row>
    <row r="18" spans="2:13" ht="18" thickBot="1">
      <c r="B18" s="87" t="s">
        <v>3637</v>
      </c>
      <c r="C18" s="63" t="s">
        <v>3633</v>
      </c>
      <c r="D18" s="59">
        <f ca="1">Wskaźniki!C24</f>
        <v>3.2735886934875134</v>
      </c>
      <c r="E18" s="59">
        <f ca="1">Wskaźniki!D24</f>
        <v>5.988899918779893</v>
      </c>
      <c r="F18" s="58">
        <f t="shared" ca="1" si="1"/>
        <v>-0.45339064972145415</v>
      </c>
      <c r="G18" s="58" t="str">
        <f t="shared" ca="1" si="0"/>
        <v>malejąca</v>
      </c>
      <c r="H18" s="46"/>
      <c r="I18" s="46"/>
      <c r="J18" s="46"/>
      <c r="K18" s="46"/>
    </row>
    <row r="19" spans="2:13" ht="18.600000000000001" thickTop="1" thickBot="1">
      <c r="B19" s="88"/>
      <c r="C19" s="62" t="s">
        <v>3632</v>
      </c>
      <c r="D19" s="52">
        <v>2.14</v>
      </c>
      <c r="E19" s="52">
        <v>2.08</v>
      </c>
      <c r="F19" s="58">
        <f t="shared" si="1"/>
        <v>2.8846153846153872E-2</v>
      </c>
      <c r="G19" s="58" t="str">
        <f t="shared" si="0"/>
        <v>rosnąca</v>
      </c>
      <c r="H19" s="46"/>
      <c r="I19" s="46"/>
      <c r="J19" s="46"/>
      <c r="K19" s="46"/>
    </row>
    <row r="20" spans="2:13" ht="18.600000000000001" thickTop="1" thickBot="1">
      <c r="B20" s="89"/>
      <c r="C20" s="61" t="s">
        <v>3634</v>
      </c>
      <c r="D20" s="51">
        <v>3.67</v>
      </c>
      <c r="E20" s="51">
        <v>3.28</v>
      </c>
      <c r="F20" s="58">
        <f t="shared" si="1"/>
        <v>0.11890243902439029</v>
      </c>
      <c r="G20" s="58" t="str">
        <f t="shared" si="0"/>
        <v>rosnąca</v>
      </c>
      <c r="H20" s="46"/>
      <c r="I20" s="46"/>
      <c r="J20" s="46"/>
      <c r="K20" s="46"/>
    </row>
    <row r="21" spans="2:13" ht="18" thickBot="1">
      <c r="B21" s="87" t="s">
        <v>3638</v>
      </c>
      <c r="C21" s="63" t="s">
        <v>3633</v>
      </c>
      <c r="D21" s="59">
        <f ca="1">Wskaźniki!C25</f>
        <v>-1.1599999999999999</v>
      </c>
      <c r="E21" s="59">
        <f ca="1">Wskaźniki!D25</f>
        <v>-1.23</v>
      </c>
      <c r="F21" s="58">
        <f t="shared" ca="1" si="1"/>
        <v>-5.691056910569111E-2</v>
      </c>
      <c r="G21" s="58" t="str">
        <f t="shared" ca="1" si="0"/>
        <v>malejąca</v>
      </c>
      <c r="H21" s="46"/>
      <c r="I21" s="46"/>
      <c r="J21" s="46"/>
      <c r="K21" s="46"/>
    </row>
    <row r="22" spans="2:13" ht="18.600000000000001" thickTop="1" thickBot="1">
      <c r="B22" s="88"/>
      <c r="C22" s="62" t="s">
        <v>3632</v>
      </c>
      <c r="D22" s="52">
        <v>1.17</v>
      </c>
      <c r="E22" s="52">
        <v>0.48</v>
      </c>
      <c r="F22" s="58">
        <f t="shared" si="1"/>
        <v>1.4375</v>
      </c>
      <c r="G22" s="58" t="str">
        <f t="shared" si="0"/>
        <v>rosnąca</v>
      </c>
      <c r="H22" s="46"/>
      <c r="I22" s="46"/>
      <c r="J22" s="46"/>
      <c r="K22" s="46"/>
    </row>
    <row r="23" spans="2:13" ht="18.600000000000001" thickTop="1" thickBot="1">
      <c r="B23" s="105"/>
      <c r="C23" s="61" t="s">
        <v>3634</v>
      </c>
      <c r="D23" s="51">
        <v>-1.34</v>
      </c>
      <c r="E23" s="51">
        <v>-0.56999999999999995</v>
      </c>
      <c r="F23" s="58">
        <f t="shared" si="1"/>
        <v>1.3508771929824566</v>
      </c>
      <c r="G23" s="58" t="str">
        <f t="shared" si="0"/>
        <v>rosnąca</v>
      </c>
      <c r="H23" s="46"/>
      <c r="I23" s="46"/>
      <c r="J23" s="46"/>
      <c r="K23" s="46"/>
    </row>
    <row r="24" spans="2:13" ht="25.2" thickBot="1">
      <c r="B24" s="48"/>
      <c r="C24" s="48"/>
      <c r="D24" s="48"/>
      <c r="E24" s="48"/>
      <c r="F24" s="48"/>
      <c r="G24" s="48"/>
      <c r="H24" s="48"/>
      <c r="I24" s="48"/>
      <c r="J24" s="48"/>
      <c r="K24" s="48"/>
    </row>
    <row r="25" spans="2:13" ht="25.2" customHeight="1">
      <c r="B25" s="64"/>
      <c r="C25" s="106" t="s">
        <v>3639</v>
      </c>
      <c r="D25" s="107"/>
      <c r="E25" s="107"/>
      <c r="F25" s="108"/>
      <c r="G25" s="65"/>
      <c r="H25" s="106" t="s">
        <v>3634</v>
      </c>
      <c r="I25" s="107"/>
      <c r="J25" s="107"/>
      <c r="K25" s="108"/>
      <c r="L25" s="46"/>
      <c r="M25" s="46"/>
    </row>
    <row r="26" spans="2:13" ht="25.95" customHeight="1" thickBot="1">
      <c r="B26" s="64"/>
      <c r="C26" s="109"/>
      <c r="D26" s="110"/>
      <c r="E26" s="110"/>
      <c r="F26" s="111"/>
      <c r="G26" s="65"/>
      <c r="H26" s="109"/>
      <c r="I26" s="110"/>
      <c r="J26" s="110"/>
      <c r="K26" s="111"/>
      <c r="L26" s="46"/>
      <c r="M26" s="46"/>
    </row>
    <row r="27" spans="2:13" ht="25.2" thickBot="1">
      <c r="B27" s="64"/>
      <c r="C27" s="80" t="s">
        <v>3583</v>
      </c>
      <c r="D27" s="67" t="s">
        <v>3626</v>
      </c>
      <c r="E27" s="67" t="s">
        <v>3627</v>
      </c>
      <c r="F27" s="68" t="s">
        <v>3628</v>
      </c>
      <c r="G27" s="65"/>
      <c r="H27" s="80" t="s">
        <v>3583</v>
      </c>
      <c r="I27" s="67" t="s">
        <v>3626</v>
      </c>
      <c r="J27" s="67" t="s">
        <v>3627</v>
      </c>
      <c r="K27" s="68" t="s">
        <v>3628</v>
      </c>
      <c r="L27" s="46"/>
      <c r="M27" s="46"/>
    </row>
    <row r="28" spans="2:13" ht="25.2" thickBot="1">
      <c r="B28" s="64"/>
      <c r="C28" s="101">
        <v>2024</v>
      </c>
      <c r="D28" s="69" t="s">
        <v>3629</v>
      </c>
      <c r="E28" s="70" t="str">
        <f ca="1">IF(D9&gt;0,"Jest dodatni","Nie")</f>
        <v>Jest dodatni</v>
      </c>
      <c r="F28" s="71" t="str">
        <f ca="1">IF(E28="Jest dodatni","Jest dobrze","Jest źle")</f>
        <v>Jest dobrze</v>
      </c>
      <c r="G28" s="65"/>
      <c r="H28" s="101">
        <v>2024</v>
      </c>
      <c r="I28" s="69" t="s">
        <v>3629</v>
      </c>
      <c r="J28" s="70" t="str">
        <f>IF(D11&gt;0,"Jest dodatni","Nie")</f>
        <v>Jest dodatni</v>
      </c>
      <c r="K28" s="71" t="str">
        <f>IF(J28="Jest dodatni","Jest dobrze","Jest źle")</f>
        <v>Jest dobrze</v>
      </c>
      <c r="L28" s="46"/>
      <c r="M28" s="46"/>
    </row>
    <row r="29" spans="2:13" ht="35.4" thickBot="1">
      <c r="B29" s="64"/>
      <c r="C29" s="102"/>
      <c r="D29" s="72" t="s">
        <v>3630</v>
      </c>
      <c r="E29" s="73" t="str">
        <f>IF(AND(D10&gt;Wskaźniki!H3,D10&lt;Wskaźniki!I3), "Wartość prawidłowa", "Nieprawidłowa wartość")</f>
        <v>Nieprawidłowa wartość</v>
      </c>
      <c r="F29" s="71" t="str">
        <f>IF(E29="Wartość prawidłowa","Jest dobrze","Jest źle")</f>
        <v>Jest źle</v>
      </c>
      <c r="G29" s="65"/>
      <c r="H29" s="102"/>
      <c r="I29" s="72" t="s">
        <v>3630</v>
      </c>
      <c r="J29" s="73" t="str">
        <f>IF(AND(D11&gt;Wskaźniki!H3,D11&lt;Wskaźniki!I3), "Wartość prawidłowa", "Nieprawidłowa wartość")</f>
        <v>Wartość prawidłowa</v>
      </c>
      <c r="K29" s="71" t="str">
        <f>IF(J29="Wartość prawidłowa","Jest dobrze","Jest źle")</f>
        <v>Jest dobrze</v>
      </c>
      <c r="L29" s="46"/>
      <c r="M29" s="46"/>
    </row>
    <row r="30" spans="2:13" ht="25.2" thickBot="1">
      <c r="B30" s="64"/>
      <c r="C30" s="92">
        <v>2023</v>
      </c>
      <c r="D30" s="72" t="s">
        <v>3629</v>
      </c>
      <c r="E30" s="73" t="str">
        <f ca="1">IF(E9&gt;0,"Jest dodatni","Nie")</f>
        <v>Jest dodatni</v>
      </c>
      <c r="F30" s="71" t="str">
        <f ca="1">IF(E30="Jest dodatni","Jest dobrze","Jest źle")</f>
        <v>Jest dobrze</v>
      </c>
      <c r="G30" s="65"/>
      <c r="H30" s="103">
        <v>2023</v>
      </c>
      <c r="I30" s="72" t="s">
        <v>3629</v>
      </c>
      <c r="J30" s="73" t="str">
        <f>IF(E11&gt;0,"Jest dodatni","Nie")</f>
        <v>Jest dodatni</v>
      </c>
      <c r="K30" s="71" t="str">
        <f>IF(J30="Jest dodatni","Jest dobrze","Jest źle")</f>
        <v>Jest dobrze</v>
      </c>
      <c r="L30" s="46"/>
      <c r="M30" s="46"/>
    </row>
    <row r="31" spans="2:13" ht="35.4" thickBot="1">
      <c r="B31" s="64"/>
      <c r="C31" s="91"/>
      <c r="D31" s="72" t="s">
        <v>3630</v>
      </c>
      <c r="E31" s="73" t="str">
        <f>IF(AND(E10&gt;Wskaźniki!H3,E10&lt;Wskaźniki!I3), "Wartość prawidłowa", "Nieprawidłowa wartość")</f>
        <v>Wartość prawidłowa</v>
      </c>
      <c r="F31" s="71" t="str">
        <f>IF(E31="Wartość prawidłowa","Jest dobrze","Jest źle")</f>
        <v>Jest dobrze</v>
      </c>
      <c r="G31" s="65"/>
      <c r="H31" s="104"/>
      <c r="I31" s="72" t="s">
        <v>3630</v>
      </c>
      <c r="J31" s="73" t="str">
        <f>IF(AND(E11&gt;Wskaźniki!H3,E11&lt;Wskaźniki!I3), "Wartość prawidłowa", "Nieprawidłowa wartość")</f>
        <v>Wartość prawidłowa</v>
      </c>
      <c r="K31" s="71" t="str">
        <f>IF(J31="Wartość prawidłowa","Jest dobrze","Jest źle")</f>
        <v>Jest dobrze</v>
      </c>
      <c r="L31" s="46"/>
      <c r="M31" s="46"/>
    </row>
    <row r="32" spans="2:13" ht="63" customHeight="1" thickBot="1">
      <c r="B32" s="64"/>
      <c r="C32" s="74" t="s">
        <v>3640</v>
      </c>
      <c r="D32" s="72" t="s">
        <v>3641</v>
      </c>
      <c r="E32" s="75" t="str">
        <f ca="1">G9</f>
        <v>malejąca</v>
      </c>
      <c r="F32" s="71" t="str">
        <f ca="1">IF(E32="rosnąca","Jest dobrze","Jest źle")</f>
        <v>Jest źle</v>
      </c>
      <c r="G32" s="65"/>
      <c r="H32" s="74" t="s">
        <v>3640</v>
      </c>
      <c r="I32" s="72" t="s">
        <v>3641</v>
      </c>
      <c r="J32" s="75" t="str">
        <f>G11</f>
        <v>malejąca</v>
      </c>
      <c r="K32" s="71" t="str">
        <f>IF(J32="rosnąca","Jest dobrze","Jest źle")</f>
        <v>Jest źle</v>
      </c>
      <c r="L32" s="46"/>
      <c r="M32" s="46"/>
    </row>
    <row r="33" spans="2:13" ht="25.2" thickBot="1">
      <c r="B33" s="64"/>
      <c r="C33" s="66"/>
      <c r="D33" s="66"/>
      <c r="E33" s="66"/>
      <c r="F33" s="66"/>
      <c r="G33" s="65"/>
      <c r="H33" s="66"/>
      <c r="I33" s="66"/>
      <c r="J33" s="66"/>
      <c r="K33" s="66"/>
      <c r="L33" s="46"/>
      <c r="M33" s="46"/>
    </row>
    <row r="34" spans="2:13" ht="58.95" customHeight="1" thickBot="1">
      <c r="B34" s="64"/>
      <c r="C34" s="80" t="s">
        <v>3597</v>
      </c>
      <c r="D34" s="67" t="s">
        <v>3626</v>
      </c>
      <c r="E34" s="67" t="s">
        <v>3627</v>
      </c>
      <c r="F34" s="68" t="s">
        <v>3628</v>
      </c>
      <c r="G34" s="65"/>
      <c r="H34" s="80" t="s">
        <v>3597</v>
      </c>
      <c r="I34" s="67" t="s">
        <v>3626</v>
      </c>
      <c r="J34" s="67" t="s">
        <v>3627</v>
      </c>
      <c r="K34" s="68" t="s">
        <v>3628</v>
      </c>
      <c r="L34" s="46"/>
      <c r="M34" s="46"/>
    </row>
    <row r="35" spans="2:13" ht="25.2" thickBot="1">
      <c r="B35" s="64"/>
      <c r="C35" s="90">
        <v>2024</v>
      </c>
      <c r="D35" s="72" t="s">
        <v>3629</v>
      </c>
      <c r="E35" s="76" t="str">
        <f ca="1">IF(D12&gt;0,"Jest dodatni","Nie")</f>
        <v>Jest dodatni</v>
      </c>
      <c r="F35" s="71" t="str">
        <f ca="1">IF(E35="Jest dodatni","Jest dobrze","Jest źle")</f>
        <v>Jest dobrze</v>
      </c>
      <c r="G35" s="65"/>
      <c r="H35" s="90">
        <v>2024</v>
      </c>
      <c r="I35" s="72" t="s">
        <v>3629</v>
      </c>
      <c r="J35" s="76" t="str">
        <f>IF(D14&gt;0,"Jest dodatni","Nie")</f>
        <v>Jest dodatni</v>
      </c>
      <c r="K35" s="71" t="str">
        <f>IF(J35="Jest dodatni","Jest dobrze","Jest źle")</f>
        <v>Jest dobrze</v>
      </c>
      <c r="L35" s="46"/>
      <c r="M35" s="46"/>
    </row>
    <row r="36" spans="2:13" ht="32.549999999999997" customHeight="1" thickBot="1">
      <c r="B36" s="64"/>
      <c r="C36" s="91"/>
      <c r="D36" s="72" t="s">
        <v>3630</v>
      </c>
      <c r="E36" s="73" t="str">
        <f>IF(AND(D13&gt;Wskaźniki!H4,D13&lt;Wskaźniki!I4), "Wartość prawidłowa", "Nieprawidłowa wartość")</f>
        <v>Nieprawidłowa wartość</v>
      </c>
      <c r="F36" s="71" t="str">
        <f>IF(E36="Wartość prawidłowa","Jest dobrze","Jest źle")</f>
        <v>Jest źle</v>
      </c>
      <c r="G36" s="65"/>
      <c r="H36" s="91"/>
      <c r="I36" s="72" t="s">
        <v>3630</v>
      </c>
      <c r="J36" s="73" t="str">
        <f>IF(AND(D14&gt;Wskaźniki!H4,D14&lt;Wskaźniki!I4), "Wartość prawidłowa", "Nieprawidłowa wartość")</f>
        <v>Wartość prawidłowa</v>
      </c>
      <c r="K36" s="71" t="str">
        <f>IF(J36="Wartość prawidłowa","Jest dobrze","Jest źle")</f>
        <v>Jest dobrze</v>
      </c>
      <c r="L36" s="46"/>
      <c r="M36" s="46"/>
    </row>
    <row r="37" spans="2:13" ht="25.2" thickBot="1">
      <c r="B37" s="64"/>
      <c r="C37" s="92">
        <v>2023</v>
      </c>
      <c r="D37" s="72" t="s">
        <v>3629</v>
      </c>
      <c r="E37" s="76" t="str">
        <f ca="1">IF(E12&gt;0,"Jest dodatni","Nie")</f>
        <v>Jest dodatni</v>
      </c>
      <c r="F37" s="71" t="str">
        <f ca="1">IF(E37="Jest dodatni","Jest dobrze","Jest źle")</f>
        <v>Jest dobrze</v>
      </c>
      <c r="G37" s="65"/>
      <c r="H37" s="92">
        <v>2023</v>
      </c>
      <c r="I37" s="72" t="s">
        <v>3629</v>
      </c>
      <c r="J37" s="76" t="str">
        <f>IF(E14&gt;0,"Jest dodatni","Nie")</f>
        <v>Jest dodatni</v>
      </c>
      <c r="K37" s="71" t="str">
        <f>IF(J37="Jest dodatni","Jest dobrze","Jest źle")</f>
        <v>Jest dobrze</v>
      </c>
      <c r="L37" s="46"/>
      <c r="M37" s="46"/>
    </row>
    <row r="38" spans="2:13" ht="25.5" customHeight="1" thickBot="1">
      <c r="B38" s="64"/>
      <c r="C38" s="91"/>
      <c r="D38" s="72" t="s">
        <v>3630</v>
      </c>
      <c r="E38" s="73" t="str">
        <f>IF(AND(E13&gt;Wskaźniki!H4,E13&lt;Wskaźniki!I4), "Wartość prawidłowa", "Nieprawidłowa wartość")</f>
        <v>Nieprawidłowa wartość</v>
      </c>
      <c r="F38" s="71" t="str">
        <f>IF(E38="Wartość prawidłowa","Jest dobrze","Jest źle")</f>
        <v>Jest źle</v>
      </c>
      <c r="G38" s="65"/>
      <c r="H38" s="91"/>
      <c r="I38" s="72" t="s">
        <v>3630</v>
      </c>
      <c r="J38" s="73" t="str">
        <f>IF(AND(E14&gt;Wskaźniki!H4,E14&lt;Wskaźniki!I4), "Wartość prawidłowa", "Nieprawidłowa wartość")</f>
        <v>Nieprawidłowa wartość</v>
      </c>
      <c r="K38" s="71" t="str">
        <f>IF(J38="Wartość prawidłowa","Jest dobrze","Jest źle")</f>
        <v>Jest źle</v>
      </c>
      <c r="L38" s="46"/>
      <c r="M38" s="46"/>
    </row>
    <row r="39" spans="2:13" ht="35.4" thickBot="1">
      <c r="B39" s="64"/>
      <c r="C39" s="74" t="s">
        <v>3640</v>
      </c>
      <c r="D39" s="72" t="s">
        <v>3641</v>
      </c>
      <c r="E39" s="75" t="str">
        <f ca="1">G12</f>
        <v>malejąca</v>
      </c>
      <c r="F39" s="71" t="str">
        <f ca="1">IF(E39="rosnąca","Jest dobrze","Jest źle")</f>
        <v>Jest źle</v>
      </c>
      <c r="G39" s="65"/>
      <c r="H39" s="74" t="s">
        <v>3640</v>
      </c>
      <c r="I39" s="72" t="s">
        <v>3641</v>
      </c>
      <c r="J39" s="75" t="str">
        <f>G14</f>
        <v>rosnąca</v>
      </c>
      <c r="K39" s="71" t="str">
        <f>IF(J39="rosnąca","Jest dobrze","Jest źle")</f>
        <v>Jest dobrze</v>
      </c>
      <c r="L39" s="46"/>
      <c r="M39" s="46"/>
    </row>
    <row r="40" spans="2:13" ht="25.2" thickBot="1">
      <c r="B40" s="64"/>
      <c r="C40" s="66"/>
      <c r="D40" s="66"/>
      <c r="E40" s="66"/>
      <c r="F40" s="66"/>
      <c r="G40" s="65"/>
      <c r="H40" s="66"/>
      <c r="I40" s="66"/>
      <c r="J40" s="66"/>
      <c r="K40" s="66"/>
      <c r="L40" s="46"/>
      <c r="M40" s="46"/>
    </row>
    <row r="41" spans="2:13" ht="45" customHeight="1" thickBot="1">
      <c r="B41" s="64"/>
      <c r="C41" s="80" t="s">
        <v>3581</v>
      </c>
      <c r="D41" s="67" t="s">
        <v>3626</v>
      </c>
      <c r="E41" s="67" t="s">
        <v>3627</v>
      </c>
      <c r="F41" s="68" t="s">
        <v>3628</v>
      </c>
      <c r="G41" s="65"/>
      <c r="H41" s="80" t="s">
        <v>3581</v>
      </c>
      <c r="I41" s="67" t="s">
        <v>3626</v>
      </c>
      <c r="J41" s="67" t="s">
        <v>3627</v>
      </c>
      <c r="K41" s="68" t="s">
        <v>3628</v>
      </c>
      <c r="L41" s="46"/>
      <c r="M41" s="46"/>
    </row>
    <row r="42" spans="2:13" ht="25.2" thickBot="1">
      <c r="B42" s="64"/>
      <c r="C42" s="90">
        <v>2024</v>
      </c>
      <c r="D42" s="72" t="s">
        <v>3629</v>
      </c>
      <c r="E42" s="76" t="str">
        <f ca="1">IF(D15&gt;0,"Jest dodatni","Nie")</f>
        <v>Jest dodatni</v>
      </c>
      <c r="F42" s="71" t="str">
        <f ca="1">IF(E42="Jest dodatni","Jest dobrze","Jest źle")</f>
        <v>Jest dobrze</v>
      </c>
      <c r="G42" s="65"/>
      <c r="H42" s="90">
        <v>2024</v>
      </c>
      <c r="I42" s="72" t="s">
        <v>3629</v>
      </c>
      <c r="J42" s="76" t="str">
        <f>IF(D17&gt;0,"Jest dodatni","Nie")</f>
        <v>Jest dodatni</v>
      </c>
      <c r="K42" s="71" t="str">
        <f>IF(J42="Jest dodatni","Jest dobrze","Jest źle")</f>
        <v>Jest dobrze</v>
      </c>
      <c r="L42" s="46"/>
      <c r="M42" s="46"/>
    </row>
    <row r="43" spans="2:13" ht="35.4" thickBot="1">
      <c r="B43" s="64"/>
      <c r="C43" s="91"/>
      <c r="D43" s="72" t="s">
        <v>3630</v>
      </c>
      <c r="E43" s="73" t="str">
        <f>IF(AND(D16&gt;Wskaźniki!H5,D16&lt;Wskaźniki!I5), "Wartość prawidłowa", "Nieprawidłowa wartość")</f>
        <v>Nieprawidłowa wartość</v>
      </c>
      <c r="F43" s="71" t="str">
        <f>IF(E43="Wartość prawidłowa","Jest dobrze","Jest źle")</f>
        <v>Jest źle</v>
      </c>
      <c r="G43" s="65"/>
      <c r="H43" s="91"/>
      <c r="I43" s="72" t="s">
        <v>3630</v>
      </c>
      <c r="J43" s="73" t="str">
        <f>IF(AND(D17&gt;Wskaźniki!H5,D17&lt;Wskaźniki!I5), "Wartość prawidłowa", "Nieprawidłowa wartość")</f>
        <v>Nieprawidłowa wartość</v>
      </c>
      <c r="K43" s="71" t="str">
        <f>IF(J43="Wartość prawidłowa","Jest dobrze","Jest źle")</f>
        <v>Jest źle</v>
      </c>
      <c r="L43" s="46"/>
      <c r="M43" s="46"/>
    </row>
    <row r="44" spans="2:13" ht="25.2" thickBot="1">
      <c r="B44" s="64"/>
      <c r="C44" s="92">
        <v>2023</v>
      </c>
      <c r="D44" s="72" t="s">
        <v>3629</v>
      </c>
      <c r="E44" s="76" t="str">
        <f ca="1">IF(E15&gt;0,"Jest dodatni","Nie")</f>
        <v>Jest dodatni</v>
      </c>
      <c r="F44" s="71" t="str">
        <f ca="1">IF(E44="Jest dodatni","Jest dobrze","Jest źle")</f>
        <v>Jest dobrze</v>
      </c>
      <c r="G44" s="65"/>
      <c r="H44" s="92">
        <v>2023</v>
      </c>
      <c r="I44" s="72" t="s">
        <v>3629</v>
      </c>
      <c r="J44" s="76" t="str">
        <f>IF(E17&gt;0,"Jest dodatni","Nie")</f>
        <v>Jest dodatni</v>
      </c>
      <c r="K44" s="71" t="str">
        <f>IF(J44="Jest dodatni","Jest dobrze","Jest źle")</f>
        <v>Jest dobrze</v>
      </c>
      <c r="L44" s="46"/>
      <c r="M44" s="46"/>
    </row>
    <row r="45" spans="2:13" ht="35.4" thickBot="1">
      <c r="B45" s="64"/>
      <c r="C45" s="91"/>
      <c r="D45" s="72" t="s">
        <v>3630</v>
      </c>
      <c r="E45" s="73" t="str">
        <f>IF(AND(E16&gt;Wskaźniki!H5,E16&lt;Wskaźniki!I5), "Wartość prawidłowa", "Nieprawidłowa wartość")</f>
        <v>Nieprawidłowa wartość</v>
      </c>
      <c r="F45" s="71" t="str">
        <f>IF(E45="Wartość prawidłowa","Jest dobrze","Jest źle")</f>
        <v>Jest źle</v>
      </c>
      <c r="G45" s="65"/>
      <c r="H45" s="91"/>
      <c r="I45" s="72" t="s">
        <v>3630</v>
      </c>
      <c r="J45" s="73" t="str">
        <f>IF(AND(E17&gt;Wskaźniki!H5,E17&lt;Wskaźniki!I5), "Wartość prawidłowa", "Nieprawidłowa wartość")</f>
        <v>Nieprawidłowa wartość</v>
      </c>
      <c r="K45" s="71" t="str">
        <f>IF(J45="Wartość prawidłowa","Jest dobrze","Jest źle")</f>
        <v>Jest źle</v>
      </c>
      <c r="L45" s="46"/>
      <c r="M45" s="46"/>
    </row>
    <row r="46" spans="2:13" ht="35.4" thickBot="1">
      <c r="B46" s="64"/>
      <c r="C46" s="74" t="s">
        <v>3640</v>
      </c>
      <c r="D46" s="72" t="s">
        <v>3641</v>
      </c>
      <c r="E46" s="75" t="str">
        <f ca="1">G15</f>
        <v>malejąca</v>
      </c>
      <c r="F46" s="71" t="str">
        <f ca="1">IF(E46="rosnąca","Jest dobrze","Jest źle")</f>
        <v>Jest źle</v>
      </c>
      <c r="G46" s="65"/>
      <c r="H46" s="74" t="s">
        <v>3640</v>
      </c>
      <c r="I46" s="72" t="s">
        <v>3641</v>
      </c>
      <c r="J46" s="75" t="str">
        <f>G17</f>
        <v>malejąca</v>
      </c>
      <c r="K46" s="71" t="str">
        <f>IF(J46="rosnąca","Jest dobrze","Jest źle")</f>
        <v>Jest źle</v>
      </c>
      <c r="L46" s="46"/>
      <c r="M46" s="46"/>
    </row>
    <row r="47" spans="2:13" ht="25.2" thickBot="1">
      <c r="B47" s="64"/>
      <c r="C47" s="66"/>
      <c r="D47" s="66"/>
      <c r="E47" s="66"/>
      <c r="F47" s="66"/>
      <c r="G47" s="65"/>
      <c r="H47" s="66"/>
      <c r="I47" s="66"/>
      <c r="J47" s="66"/>
      <c r="K47" s="66"/>
      <c r="L47" s="46"/>
      <c r="M47" s="46"/>
    </row>
    <row r="48" spans="2:13" ht="45.45" customHeight="1" thickBot="1">
      <c r="B48" s="64"/>
      <c r="C48" s="80" t="s">
        <v>3642</v>
      </c>
      <c r="D48" s="67" t="s">
        <v>3626</v>
      </c>
      <c r="E48" s="67" t="s">
        <v>3627</v>
      </c>
      <c r="F48" s="68" t="s">
        <v>3628</v>
      </c>
      <c r="G48" s="65"/>
      <c r="H48" s="80" t="s">
        <v>3580</v>
      </c>
      <c r="I48" s="67" t="s">
        <v>3626</v>
      </c>
      <c r="J48" s="67" t="s">
        <v>3627</v>
      </c>
      <c r="K48" s="68" t="s">
        <v>3628</v>
      </c>
      <c r="L48" s="46"/>
      <c r="M48" s="46"/>
    </row>
    <row r="49" spans="2:13" ht="25.2" thickBot="1">
      <c r="B49" s="64"/>
      <c r="C49" s="90">
        <v>2024</v>
      </c>
      <c r="D49" s="72" t="s">
        <v>3629</v>
      </c>
      <c r="E49" s="76" t="str">
        <f ca="1">IF(D18&gt;0,"Jest dodatni","Nie")</f>
        <v>Jest dodatni</v>
      </c>
      <c r="F49" s="71" t="str">
        <f ca="1">IF(E49="Jest dodatni","Jest dobrze","Jest źle")</f>
        <v>Jest dobrze</v>
      </c>
      <c r="G49" s="65"/>
      <c r="H49" s="90">
        <v>2024</v>
      </c>
      <c r="I49" s="72" t="s">
        <v>3629</v>
      </c>
      <c r="J49" s="76" t="str">
        <f>IF(D20&gt;0,"Jest dodatni","Nie")</f>
        <v>Jest dodatni</v>
      </c>
      <c r="K49" s="71" t="str">
        <f>IF(J49="Jest dodatni","Jest dobrze","Jest źle")</f>
        <v>Jest dobrze</v>
      </c>
      <c r="L49" s="46"/>
      <c r="M49" s="46"/>
    </row>
    <row r="50" spans="2:13" ht="35.4" thickBot="1">
      <c r="B50" s="64"/>
      <c r="C50" s="91"/>
      <c r="D50" s="72" t="s">
        <v>3630</v>
      </c>
      <c r="E50" s="73" t="str">
        <f>IF(D19&gt;Wskaźniki!H6,"Wartość prawidłowa","Nieprawidłowa wartość")</f>
        <v>Wartość prawidłowa</v>
      </c>
      <c r="F50" s="71" t="str">
        <f>IF(E50="Wartość prawidłowa","Jest dobrze","Jest źle")</f>
        <v>Jest dobrze</v>
      </c>
      <c r="G50" s="65"/>
      <c r="H50" s="91"/>
      <c r="I50" s="72" t="s">
        <v>3630</v>
      </c>
      <c r="J50" s="73" t="str">
        <f>IF(D20&gt;Wskaźniki!H6,"Wartość prawidłowa","Nieprawidłowa wartość")</f>
        <v>Wartość prawidłowa</v>
      </c>
      <c r="K50" s="71" t="str">
        <f>IF(J50="Wartość prawidłowa","Jest dobrze","Jest źle")</f>
        <v>Jest dobrze</v>
      </c>
      <c r="L50" s="46"/>
      <c r="M50" s="46"/>
    </row>
    <row r="51" spans="2:13" ht="43.95" customHeight="1" thickBot="1">
      <c r="B51" s="64"/>
      <c r="C51" s="92">
        <v>2023</v>
      </c>
      <c r="D51" s="72" t="s">
        <v>3629</v>
      </c>
      <c r="E51" s="76" t="str">
        <f ca="1">IF(E18&gt;0,"Jest dodatni","Nie")</f>
        <v>Jest dodatni</v>
      </c>
      <c r="F51" s="71" t="str">
        <f ca="1">IF(E51="Jest dodatni","Jest dobrze","Jest źle")</f>
        <v>Jest dobrze</v>
      </c>
      <c r="G51" s="65"/>
      <c r="H51" s="92">
        <v>2023</v>
      </c>
      <c r="I51" s="72" t="s">
        <v>3629</v>
      </c>
      <c r="J51" s="76" t="str">
        <f>IF(E20&gt;0,"Jest dodatni","Nie")</f>
        <v>Jest dodatni</v>
      </c>
      <c r="K51" s="71" t="str">
        <f>IF(J51="Jest dodatni","Jest dobrze","Jest źle")</f>
        <v>Jest dobrze</v>
      </c>
      <c r="L51" s="46"/>
      <c r="M51" s="46"/>
    </row>
    <row r="52" spans="2:13" ht="35.4" thickBot="1">
      <c r="B52" s="64"/>
      <c r="C52" s="91"/>
      <c r="D52" s="72" t="s">
        <v>3630</v>
      </c>
      <c r="E52" s="73" t="str">
        <f>IF(E19&gt;Wskaźniki!H8,"Wartość prawidłowa","Nieprawidłowa wartość")</f>
        <v>Wartość prawidłowa</v>
      </c>
      <c r="F52" s="71" t="str">
        <f>IF(E52="Wartość prawidłowa","Jest dobrze","Jest źle")</f>
        <v>Jest dobrze</v>
      </c>
      <c r="G52" s="65"/>
      <c r="H52" s="91"/>
      <c r="I52" s="72" t="s">
        <v>3630</v>
      </c>
      <c r="J52" s="73" t="str">
        <f>IF(E20&gt;Wskaźniki!H6,"Wartość prawidłowa","Nieprawidłowa wartość")</f>
        <v>Wartość prawidłowa</v>
      </c>
      <c r="K52" s="71" t="str">
        <f>IF(J52="Wartość prawidłowa","Jest dobrze","Jest źle")</f>
        <v>Jest dobrze</v>
      </c>
      <c r="L52" s="46"/>
      <c r="M52" s="46"/>
    </row>
    <row r="53" spans="2:13" ht="35.4" thickBot="1">
      <c r="B53" s="64"/>
      <c r="C53" s="74" t="s">
        <v>3640</v>
      </c>
      <c r="D53" s="72" t="s">
        <v>3641</v>
      </c>
      <c r="E53" s="75" t="str">
        <f ca="1">G18</f>
        <v>malejąca</v>
      </c>
      <c r="F53" s="78" t="str">
        <f ca="1">IF(E53="rosnąca","Jest dobrze","Jest źle")</f>
        <v>Jest źle</v>
      </c>
      <c r="G53" s="65"/>
      <c r="H53" s="74" t="s">
        <v>3640</v>
      </c>
      <c r="I53" s="72" t="s">
        <v>3641</v>
      </c>
      <c r="J53" s="75" t="str">
        <f>G20</f>
        <v>rosnąca</v>
      </c>
      <c r="K53" s="71" t="str">
        <f>IF(J53="rosnąca","Jest dobrze","Jest źle")</f>
        <v>Jest dobrze</v>
      </c>
      <c r="L53" s="46"/>
      <c r="M53" s="46"/>
    </row>
    <row r="54" spans="2:13" ht="25.2" thickBot="1">
      <c r="B54" s="64"/>
      <c r="C54" s="66"/>
      <c r="D54" s="66"/>
      <c r="E54" s="66"/>
      <c r="F54" s="66"/>
      <c r="G54" s="65"/>
      <c r="H54" s="66"/>
      <c r="I54" s="66"/>
      <c r="J54" s="66"/>
      <c r="K54" s="66"/>
      <c r="L54" s="46"/>
      <c r="M54" s="46"/>
    </row>
    <row r="55" spans="2:13" ht="58.05" customHeight="1" thickBot="1">
      <c r="B55" s="64"/>
      <c r="C55" s="80" t="s">
        <v>3579</v>
      </c>
      <c r="D55" s="79" t="s">
        <v>3626</v>
      </c>
      <c r="E55" s="67" t="s">
        <v>3627</v>
      </c>
      <c r="F55" s="68" t="s">
        <v>3628</v>
      </c>
      <c r="G55" s="65"/>
      <c r="H55" s="80" t="s">
        <v>3579</v>
      </c>
      <c r="I55" s="79" t="s">
        <v>3626</v>
      </c>
      <c r="J55" s="67" t="s">
        <v>3627</v>
      </c>
      <c r="K55" s="68" t="s">
        <v>3628</v>
      </c>
      <c r="L55" s="46"/>
      <c r="M55" s="46"/>
    </row>
    <row r="56" spans="2:13" ht="25.2" thickBot="1">
      <c r="B56" s="64"/>
      <c r="C56" s="90">
        <v>2024</v>
      </c>
      <c r="D56" s="72" t="s">
        <v>3629</v>
      </c>
      <c r="E56" s="77" t="str">
        <f ca="1">IF(D21&gt;0,"Jest dodatni","Nie")</f>
        <v>Nie</v>
      </c>
      <c r="F56" s="71" t="str">
        <f ca="1">IF(E56="Jest dodatni","Jest dobrze","Jest źle")</f>
        <v>Jest źle</v>
      </c>
      <c r="G56" s="65"/>
      <c r="H56" s="90">
        <v>2024</v>
      </c>
      <c r="I56" s="72" t="s">
        <v>3629</v>
      </c>
      <c r="J56" s="77" t="str">
        <f>IF(D23&gt;0,"Jest dodatni","Nie")</f>
        <v>Nie</v>
      </c>
      <c r="K56" s="71" t="str">
        <f>IF(J56="Jest dodatni","Jest dobrze","Jest źle")</f>
        <v>Jest źle</v>
      </c>
      <c r="L56" s="46"/>
      <c r="M56" s="46"/>
    </row>
    <row r="57" spans="2:13" ht="31.2" customHeight="1" thickBot="1">
      <c r="B57" s="64"/>
      <c r="C57" s="91"/>
      <c r="D57" s="72" t="s">
        <v>3630</v>
      </c>
      <c r="E57" s="73" t="str">
        <f>IF(D22&gt;Wskaźniki!H7,"Wartość prawidłowa","Nieprawidłowa wartość")</f>
        <v>Nieprawidłowa wartość</v>
      </c>
      <c r="F57" s="71" t="str">
        <f>IF(E57="Wartość prawidłowa","Jest dobrze","Jest źle")</f>
        <v>Jest źle</v>
      </c>
      <c r="G57" s="65"/>
      <c r="H57" s="91"/>
      <c r="I57" s="72" t="s">
        <v>3630</v>
      </c>
      <c r="J57" s="73" t="str">
        <f>IF(D23&gt;Wskaźniki!H7,"Wartość prawidłowa","Nieprawidłowa wartość")</f>
        <v>Nieprawidłowa wartość</v>
      </c>
      <c r="K57" s="71" t="str">
        <f>IF(J57="Wartość prawidłowa","Jest dobrze","Jest źle")</f>
        <v>Jest źle</v>
      </c>
      <c r="L57" s="46"/>
      <c r="M57" s="46"/>
    </row>
    <row r="58" spans="2:13" ht="25.2" thickBot="1">
      <c r="B58" s="64"/>
      <c r="C58" s="92">
        <v>2023</v>
      </c>
      <c r="D58" s="72" t="s">
        <v>3629</v>
      </c>
      <c r="E58" s="73" t="str">
        <f ca="1">IF(E21&gt;0,"Jest dodatni","Nie")</f>
        <v>Nie</v>
      </c>
      <c r="F58" s="71" t="str">
        <f ca="1">IF(E58="Jest dodatni","Jest dobrze","Jest źle")</f>
        <v>Jest źle</v>
      </c>
      <c r="G58" s="65"/>
      <c r="H58" s="92">
        <v>2023</v>
      </c>
      <c r="I58" s="72" t="s">
        <v>3629</v>
      </c>
      <c r="J58" s="73" t="str">
        <f>IF(E23&gt;0,"Jest dodatni","Nie")</f>
        <v>Nie</v>
      </c>
      <c r="K58" s="71" t="str">
        <f>IF(J58="Jest dodatni","Jest dobrze","Jest źle")</f>
        <v>Jest źle</v>
      </c>
      <c r="L58" s="46"/>
      <c r="M58" s="46"/>
    </row>
    <row r="59" spans="2:13" ht="35.4" thickBot="1">
      <c r="B59" s="64"/>
      <c r="C59" s="91"/>
      <c r="D59" s="72" t="s">
        <v>3630</v>
      </c>
      <c r="E59" s="73" t="str">
        <f>IF(E22&gt;Wskaźniki!H7,"Wartość prawidłowa","Nieprawidłowa wartość")</f>
        <v>Nieprawidłowa wartość</v>
      </c>
      <c r="F59" s="71" t="str">
        <f>IF(E59="Wartość prawidłowa","Jest dobrze","Jest źle")</f>
        <v>Jest źle</v>
      </c>
      <c r="G59" s="65"/>
      <c r="H59" s="91"/>
      <c r="I59" s="72" t="s">
        <v>3630</v>
      </c>
      <c r="J59" s="73" t="str">
        <f>IF(E23&gt;Wskaźniki!H7,"Wartość prawidłowa","Nieprawidłowa wartość")</f>
        <v>Nieprawidłowa wartość</v>
      </c>
      <c r="K59" s="71" t="str">
        <f>IF(J59="Wartość prawidłowa","Jest dobrze","Jest źle")</f>
        <v>Jest źle</v>
      </c>
      <c r="L59" s="46"/>
      <c r="M59" s="46"/>
    </row>
    <row r="60" spans="2:13" ht="35.4" thickBot="1">
      <c r="B60" s="64"/>
      <c r="C60" s="74" t="s">
        <v>3640</v>
      </c>
      <c r="D60" s="72" t="s">
        <v>3641</v>
      </c>
      <c r="E60" s="75" t="str">
        <f ca="1">G21</f>
        <v>malejąca</v>
      </c>
      <c r="F60" s="71" t="str">
        <f ca="1">IF(E60="rosnąca","Jest dobrze","Jest źle")</f>
        <v>Jest źle</v>
      </c>
      <c r="G60" s="65"/>
      <c r="H60" s="74" t="s">
        <v>3640</v>
      </c>
      <c r="I60" s="72" t="s">
        <v>3641</v>
      </c>
      <c r="J60" s="75" t="str">
        <f>G23</f>
        <v>rosnąca</v>
      </c>
      <c r="K60" s="71" t="str">
        <f>IF(J60="rosnąca","Jest dobrze","Jest źle")</f>
        <v>Jest dobrze</v>
      </c>
      <c r="L60" s="46"/>
      <c r="M60" s="46"/>
    </row>
    <row r="61" spans="2:13" ht="24.6">
      <c r="B61" s="64"/>
      <c r="C61" s="46"/>
      <c r="D61" s="46"/>
      <c r="L61" s="46"/>
      <c r="M61" s="46"/>
    </row>
    <row r="62" spans="2:13" ht="60" customHeight="1">
      <c r="B62" s="64"/>
      <c r="F62" s="64"/>
      <c r="K62" s="64"/>
    </row>
    <row r="63" spans="2:13" ht="46.95" customHeight="1">
      <c r="B63" s="64"/>
      <c r="F63" s="46"/>
      <c r="G63" s="46"/>
      <c r="H63" s="46"/>
      <c r="I63" s="46"/>
      <c r="J63" s="46"/>
      <c r="K63" s="46"/>
      <c r="L63" s="46"/>
      <c r="M63" s="46"/>
    </row>
    <row r="64" spans="2:13" ht="52.2" customHeight="1">
      <c r="B64" s="64"/>
      <c r="F64" s="46"/>
      <c r="G64" s="46"/>
      <c r="H64" s="46"/>
      <c r="I64" s="46"/>
      <c r="J64" s="46"/>
      <c r="K64" s="46"/>
      <c r="L64" s="46"/>
      <c r="M64" s="46"/>
    </row>
    <row r="65" spans="2:13" ht="37.200000000000003" customHeight="1">
      <c r="B65" s="64"/>
      <c r="F65" s="46"/>
      <c r="G65" s="46"/>
      <c r="H65" s="46"/>
      <c r="I65" s="46"/>
      <c r="J65" s="46"/>
      <c r="K65" s="46"/>
      <c r="L65" s="46"/>
      <c r="M65" s="46"/>
    </row>
    <row r="66" spans="2:13" ht="24.6">
      <c r="B66" s="64"/>
      <c r="F66" s="46"/>
      <c r="G66" s="46"/>
      <c r="H66" s="46"/>
      <c r="I66" s="46"/>
      <c r="J66" s="46"/>
      <c r="K66" s="46"/>
      <c r="L66" s="46"/>
      <c r="M66" s="46"/>
    </row>
    <row r="67" spans="2:13" ht="24.6">
      <c r="B67" s="64"/>
      <c r="F67" s="46"/>
      <c r="G67" s="46"/>
      <c r="H67" s="46"/>
      <c r="I67" s="46"/>
      <c r="J67" s="46"/>
      <c r="K67" s="46"/>
      <c r="L67" s="46"/>
      <c r="M67" s="46"/>
    </row>
    <row r="68" spans="2:13" ht="24.6">
      <c r="B68" s="64"/>
      <c r="L68" s="46"/>
      <c r="M68" s="46"/>
    </row>
    <row r="69" spans="2:13" ht="24.6">
      <c r="B69" s="64"/>
      <c r="L69" s="46"/>
      <c r="M69" s="46"/>
    </row>
    <row r="70" spans="2:13" ht="145.94999999999999" customHeight="1">
      <c r="B70" s="64"/>
      <c r="L70" s="46"/>
      <c r="M70" s="46"/>
    </row>
    <row r="71" spans="2:13" ht="24.6">
      <c r="B71" s="64"/>
      <c r="L71" s="46"/>
      <c r="M71" s="46"/>
    </row>
    <row r="72" spans="2:13" ht="64.95" customHeight="1">
      <c r="B72" s="64"/>
      <c r="L72" s="46"/>
      <c r="M72" s="46"/>
    </row>
    <row r="73" spans="2:13" ht="75" customHeight="1">
      <c r="B73" s="64"/>
      <c r="L73" s="46"/>
      <c r="M73" s="46"/>
    </row>
    <row r="74" spans="2:13" ht="175.95" customHeight="1">
      <c r="B74" s="64"/>
      <c r="L74" s="46"/>
      <c r="M74" s="46"/>
    </row>
    <row r="75" spans="2:13" ht="1.2" customHeight="1">
      <c r="B75" s="64"/>
      <c r="L75" s="46"/>
      <c r="M75" s="46"/>
    </row>
    <row r="76" spans="2:13" ht="1.2" customHeight="1">
      <c r="B76" s="64"/>
      <c r="L76" s="46"/>
      <c r="M76" s="46"/>
    </row>
    <row r="77" spans="2:13" ht="171" customHeight="1">
      <c r="B77" s="64"/>
      <c r="L77" s="46"/>
      <c r="M77" s="46"/>
    </row>
    <row r="78" spans="2:13" ht="157.19999999999999" customHeight="1">
      <c r="B78" s="64"/>
      <c r="L78" s="46"/>
      <c r="M78" s="46"/>
    </row>
    <row r="79" spans="2:13" ht="106.95" customHeight="1">
      <c r="B79" s="64"/>
      <c r="L79" s="46"/>
      <c r="M79" s="46"/>
    </row>
    <row r="80" spans="2:13" ht="52.2" customHeight="1">
      <c r="B80" s="64"/>
      <c r="L80" s="46"/>
      <c r="M80" s="46"/>
    </row>
    <row r="81" spans="2:13" ht="54" customHeight="1">
      <c r="B81" s="64"/>
      <c r="L81" s="46"/>
      <c r="M81" s="46"/>
    </row>
    <row r="82" spans="2:13" ht="55.95" customHeight="1">
      <c r="B82" s="64"/>
      <c r="L82" s="46"/>
      <c r="M82" s="46"/>
    </row>
    <row r="83" spans="2:13" ht="24.6">
      <c r="B83" s="64"/>
      <c r="L83" s="46"/>
      <c r="M83" s="46"/>
    </row>
    <row r="84" spans="2:13" ht="24.6">
      <c r="B84" s="64"/>
      <c r="L84" s="46"/>
      <c r="M84" s="46"/>
    </row>
    <row r="85" spans="2:13" ht="70.2" customHeight="1">
      <c r="B85" s="64"/>
      <c r="L85" s="46"/>
      <c r="M85" s="46"/>
    </row>
    <row r="86" spans="2:13" ht="24.6">
      <c r="B86" s="64"/>
      <c r="L86" s="46"/>
      <c r="M86" s="46"/>
    </row>
    <row r="87" spans="2:13" ht="145.94999999999999" customHeight="1">
      <c r="B87" s="64"/>
      <c r="L87" s="46"/>
      <c r="M87" s="46"/>
    </row>
    <row r="88" spans="2:13" ht="24.6">
      <c r="B88" s="64"/>
      <c r="L88" s="46"/>
      <c r="M88" s="46"/>
    </row>
    <row r="89" spans="2:13" ht="97.2" customHeight="1">
      <c r="B89" s="64"/>
      <c r="L89" s="46"/>
      <c r="M89" s="46"/>
    </row>
    <row r="90" spans="2:13" ht="103.2" customHeight="1">
      <c r="B90" s="64"/>
      <c r="L90" s="46"/>
      <c r="M90" s="46"/>
    </row>
    <row r="91" spans="2:13" ht="135" customHeight="1">
      <c r="B91" s="64"/>
      <c r="L91" s="46"/>
      <c r="M91" s="46"/>
    </row>
    <row r="92" spans="2:13" ht="93" customHeight="1">
      <c r="B92" s="64"/>
      <c r="L92" s="46"/>
      <c r="M92" s="46"/>
    </row>
    <row r="93" spans="2:13" ht="55.95" customHeight="1">
      <c r="B93" s="64"/>
      <c r="L93" s="46"/>
      <c r="M93" s="46"/>
    </row>
    <row r="94" spans="2:13" ht="58.95" hidden="1" customHeight="1">
      <c r="B94" s="64"/>
      <c r="L94" s="46"/>
      <c r="M94" s="46"/>
    </row>
    <row r="95" spans="2:13" ht="58.95" hidden="1" customHeight="1">
      <c r="B95" s="64"/>
      <c r="L95" s="46"/>
      <c r="M95" s="46"/>
    </row>
    <row r="96" spans="2:13" ht="117" hidden="1" customHeight="1">
      <c r="B96" s="64"/>
      <c r="L96" s="46"/>
      <c r="M96" s="46"/>
    </row>
    <row r="97" spans="2:17" ht="24.6">
      <c r="B97" s="64"/>
      <c r="L97" s="46"/>
      <c r="M97" s="46"/>
    </row>
    <row r="98" spans="2:17" ht="61.2" customHeight="1">
      <c r="B98" s="64"/>
      <c r="L98" s="46"/>
      <c r="M98" s="46"/>
    </row>
    <row r="99" spans="2:17" ht="42" customHeight="1">
      <c r="P99" s="46"/>
      <c r="Q99" s="46"/>
    </row>
    <row r="100" spans="2:17">
      <c r="L100" s="46"/>
      <c r="M100" s="46"/>
      <c r="N100" s="46"/>
      <c r="O100" s="46"/>
      <c r="P100" s="46"/>
      <c r="Q100" s="46"/>
    </row>
    <row r="101" spans="2:17">
      <c r="L101" s="46"/>
      <c r="M101" s="46"/>
      <c r="N101" s="46"/>
      <c r="O101" s="46"/>
      <c r="P101" s="46"/>
      <c r="Q101" s="46"/>
    </row>
    <row r="102" spans="2:17">
      <c r="L102" s="46"/>
      <c r="M102" s="46"/>
      <c r="N102" s="46"/>
      <c r="O102" s="46"/>
      <c r="P102" s="46"/>
      <c r="Q102" s="46"/>
    </row>
    <row r="103" spans="2:17">
      <c r="L103" s="46"/>
      <c r="M103" s="46"/>
      <c r="N103" s="46"/>
      <c r="O103" s="46"/>
      <c r="P103" s="46"/>
      <c r="Q103" s="46"/>
    </row>
    <row r="104" spans="2:17">
      <c r="L104" s="46"/>
      <c r="M104" s="46"/>
      <c r="N104" s="46"/>
      <c r="O104" s="46"/>
      <c r="P104" s="46"/>
      <c r="Q104" s="46"/>
    </row>
  </sheetData>
  <mergeCells count="31">
    <mergeCell ref="H44:H45"/>
    <mergeCell ref="H51:H52"/>
    <mergeCell ref="H49:H50"/>
    <mergeCell ref="C42:C43"/>
    <mergeCell ref="B4:G7"/>
    <mergeCell ref="C28:C29"/>
    <mergeCell ref="C30:C31"/>
    <mergeCell ref="H28:H29"/>
    <mergeCell ref="H30:H31"/>
    <mergeCell ref="B21:B23"/>
    <mergeCell ref="C25:F26"/>
    <mergeCell ref="H25:K26"/>
    <mergeCell ref="H35:H36"/>
    <mergeCell ref="H37:H38"/>
    <mergeCell ref="H42:H43"/>
    <mergeCell ref="A1:A1048576"/>
    <mergeCell ref="B1:O2"/>
    <mergeCell ref="F8:G8"/>
    <mergeCell ref="B9:B11"/>
    <mergeCell ref="B12:B14"/>
    <mergeCell ref="B15:B17"/>
    <mergeCell ref="B18:B20"/>
    <mergeCell ref="C35:C36"/>
    <mergeCell ref="C37:C38"/>
    <mergeCell ref="C56:C57"/>
    <mergeCell ref="C58:C59"/>
    <mergeCell ref="H56:H57"/>
    <mergeCell ref="H58:H59"/>
    <mergeCell ref="C49:C50"/>
    <mergeCell ref="C51:C52"/>
    <mergeCell ref="C44:C45"/>
  </mergeCells>
  <conditionalFormatting sqref="F28:F32 K28:K32 F56:F60 K56:K60 F49:F53 K49:K53 F42:F46 K42:K46 F35:F39 K35:K39">
    <cfRule type="containsText" dxfId="1" priority="14" operator="containsText" text="Jest dobrze">
      <formula>NOT(ISERROR(SEARCH("Jest dobrze",F28)))</formula>
    </cfRule>
    <cfRule type="containsText" dxfId="0" priority="15" operator="containsText" text="Jest źle">
      <formula>NOT(ISERROR(SEARCH("Jest źle",F28)))</formula>
    </cfRule>
  </conditionalFormatting>
  <conditionalFormatting sqref="K59 K57 K52 K50 K45 K43 K38 K36">
    <cfRule type="colorScale" priority="72">
      <colorScale>
        <cfvo type="min"/>
        <cfvo type="max"/>
        <color rgb="FFFF7128"/>
        <color rgb="FFFFEF9C"/>
      </colorScale>
    </cfRule>
    <cfRule type="colorScale" priority="73">
      <colorScale>
        <cfvo type="min"/>
        <cfvo type="max"/>
        <color rgb="FFFF7128"/>
        <color rgb="FFFFEF9C"/>
      </colorScale>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AB8C28-D841-4BF5-98BF-8A91A9B13F1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7</vt:i4>
      </vt:variant>
    </vt:vector>
  </HeadingPairs>
  <TitlesOfParts>
    <vt:vector size="7" baseType="lpstr">
      <vt:lpstr>Dane_2023_2024</vt:lpstr>
      <vt:lpstr>STEROWANIE</vt:lpstr>
      <vt:lpstr>Bilans</vt:lpstr>
      <vt:lpstr>RZiS</vt:lpstr>
      <vt:lpstr>Przepływy pieniężne</vt:lpstr>
      <vt:lpstr>Wskaźniki</vt:lpstr>
      <vt:lpstr>Porównanie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Szef</dc:creator>
  <cp:lastModifiedBy>Hoang Linh Le Thi (273951)</cp:lastModifiedBy>
  <dcterms:created xsi:type="dcterms:W3CDTF">2020-04-20T09:32:29Z</dcterms:created>
  <dcterms:modified xsi:type="dcterms:W3CDTF">2025-06-11T21:13:21Z</dcterms:modified>
</cp:coreProperties>
</file>